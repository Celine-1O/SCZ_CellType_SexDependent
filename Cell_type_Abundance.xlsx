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cssm_2/Desktop/"/>
    </mc:Choice>
  </mc:AlternateContent>
  <xr:revisionPtr revIDLastSave="0" documentId="13_ncr:1_{2B35CD49-C7AD-5F42-9581-7D80AA2BC452}" xr6:coauthVersionLast="47" xr6:coauthVersionMax="47" xr10:uidLastSave="{00000000-0000-0000-0000-000000000000}"/>
  <bookViews>
    <workbookView xWindow="1400" yWindow="500" windowWidth="39560" windowHeight="22540" xr2:uid="{00000000-000D-0000-FFFF-FFFF00000000}"/>
  </bookViews>
  <sheets>
    <sheet name="cell_type_abundanc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I3" i="3"/>
  <c r="J3" i="3"/>
  <c r="K3" i="3"/>
  <c r="E51" i="3"/>
  <c r="D51" i="3"/>
  <c r="C51" i="3"/>
  <c r="B51" i="3"/>
  <c r="F51" i="3" s="1"/>
  <c r="S50" i="3"/>
  <c r="R50" i="3"/>
  <c r="Q50" i="3"/>
  <c r="P50" i="3"/>
  <c r="F50" i="3"/>
  <c r="H50" i="3" s="1"/>
  <c r="S49" i="3"/>
  <c r="R49" i="3"/>
  <c r="Q49" i="3"/>
  <c r="P49" i="3"/>
  <c r="H49" i="3"/>
  <c r="F49" i="3"/>
  <c r="J49" i="3" s="1"/>
  <c r="S48" i="3"/>
  <c r="R48" i="3"/>
  <c r="Q48" i="3"/>
  <c r="P48" i="3"/>
  <c r="F48" i="3"/>
  <c r="H48" i="3" s="1"/>
  <c r="S47" i="3"/>
  <c r="R47" i="3"/>
  <c r="Q47" i="3"/>
  <c r="P47" i="3"/>
  <c r="H47" i="3"/>
  <c r="F47" i="3"/>
  <c r="J47" i="3" s="1"/>
  <c r="S46" i="3"/>
  <c r="R46" i="3"/>
  <c r="Q46" i="3"/>
  <c r="P46" i="3"/>
  <c r="F46" i="3"/>
  <c r="H46" i="3" s="1"/>
  <c r="S45" i="3"/>
  <c r="R45" i="3"/>
  <c r="Q45" i="3"/>
  <c r="P45" i="3"/>
  <c r="H45" i="3"/>
  <c r="F45" i="3"/>
  <c r="J45" i="3" s="1"/>
  <c r="S44" i="3"/>
  <c r="R44" i="3"/>
  <c r="Q44" i="3"/>
  <c r="P44" i="3"/>
  <c r="F44" i="3"/>
  <c r="H44" i="3" s="1"/>
  <c r="E39" i="3"/>
  <c r="D39" i="3"/>
  <c r="C39" i="3"/>
  <c r="B39" i="3"/>
  <c r="S38" i="3"/>
  <c r="R38" i="3"/>
  <c r="Q38" i="3"/>
  <c r="K38" i="3"/>
  <c r="I38" i="3"/>
  <c r="F38" i="3"/>
  <c r="J38" i="3" s="1"/>
  <c r="S37" i="3"/>
  <c r="R37" i="3"/>
  <c r="Q37" i="3"/>
  <c r="P37" i="3"/>
  <c r="K37" i="3"/>
  <c r="F37" i="3"/>
  <c r="I37" i="3" s="1"/>
  <c r="S36" i="3"/>
  <c r="R36" i="3"/>
  <c r="Q36" i="3"/>
  <c r="P36" i="3"/>
  <c r="K36" i="3"/>
  <c r="I36" i="3"/>
  <c r="H36" i="3"/>
  <c r="F36" i="3"/>
  <c r="J36" i="3" s="1"/>
  <c r="S35" i="3"/>
  <c r="R35" i="3"/>
  <c r="Q35" i="3"/>
  <c r="P35" i="3"/>
  <c r="K35" i="3"/>
  <c r="F35" i="3"/>
  <c r="I35" i="3" s="1"/>
  <c r="S34" i="3"/>
  <c r="R34" i="3"/>
  <c r="Q34" i="3"/>
  <c r="P34" i="3"/>
  <c r="K34" i="3"/>
  <c r="I34" i="3"/>
  <c r="H34" i="3"/>
  <c r="F34" i="3"/>
  <c r="J34" i="3" s="1"/>
  <c r="S33" i="3"/>
  <c r="R33" i="3"/>
  <c r="Q33" i="3"/>
  <c r="P33" i="3"/>
  <c r="K33" i="3"/>
  <c r="F33" i="3"/>
  <c r="I33" i="3" s="1"/>
  <c r="S32" i="3"/>
  <c r="R32" i="3"/>
  <c r="Q32" i="3"/>
  <c r="P32" i="3"/>
  <c r="K32" i="3"/>
  <c r="I32" i="3"/>
  <c r="H32" i="3"/>
  <c r="F32" i="3"/>
  <c r="J32" i="3" s="1"/>
  <c r="S31" i="3"/>
  <c r="R31" i="3"/>
  <c r="Q31" i="3"/>
  <c r="P31" i="3"/>
  <c r="K31" i="3"/>
  <c r="F31" i="3"/>
  <c r="I31" i="3" s="1"/>
  <c r="S30" i="3"/>
  <c r="R30" i="3"/>
  <c r="Q30" i="3"/>
  <c r="P30" i="3"/>
  <c r="K30" i="3"/>
  <c r="I30" i="3"/>
  <c r="H30" i="3"/>
  <c r="F30" i="3"/>
  <c r="J30" i="3" s="1"/>
  <c r="S29" i="3"/>
  <c r="R29" i="3"/>
  <c r="Q29" i="3"/>
  <c r="P29" i="3"/>
  <c r="K29" i="3"/>
  <c r="F29" i="3"/>
  <c r="I29" i="3" s="1"/>
  <c r="S28" i="3"/>
  <c r="R28" i="3"/>
  <c r="Q28" i="3"/>
  <c r="P28" i="3"/>
  <c r="K28" i="3"/>
  <c r="I28" i="3"/>
  <c r="H28" i="3"/>
  <c r="F28" i="3"/>
  <c r="J28" i="3" s="1"/>
  <c r="S27" i="3"/>
  <c r="R27" i="3"/>
  <c r="Q27" i="3"/>
  <c r="P27" i="3"/>
  <c r="K27" i="3"/>
  <c r="F27" i="3"/>
  <c r="I27" i="3" s="1"/>
  <c r="S26" i="3"/>
  <c r="R26" i="3"/>
  <c r="Q26" i="3"/>
  <c r="P26" i="3"/>
  <c r="K26" i="3"/>
  <c r="I26" i="3"/>
  <c r="H26" i="3"/>
  <c r="F26" i="3"/>
  <c r="J26" i="3" s="1"/>
  <c r="E21" i="3"/>
  <c r="S19" i="3" s="1"/>
  <c r="D21" i="3"/>
  <c r="C21" i="3"/>
  <c r="B21" i="3"/>
  <c r="S20" i="3"/>
  <c r="R20" i="3"/>
  <c r="Q20" i="3"/>
  <c r="P20" i="3"/>
  <c r="K20" i="3"/>
  <c r="H20" i="3"/>
  <c r="F20" i="3"/>
  <c r="J20" i="3" s="1"/>
  <c r="R19" i="3"/>
  <c r="Q19" i="3"/>
  <c r="N19" i="3"/>
  <c r="J19" i="3"/>
  <c r="F19" i="3"/>
  <c r="S18" i="3"/>
  <c r="R18" i="3"/>
  <c r="Q18" i="3"/>
  <c r="K18" i="3"/>
  <c r="H18" i="3"/>
  <c r="F18" i="3"/>
  <c r="J18" i="3" s="1"/>
  <c r="R17" i="3"/>
  <c r="Q17" i="3"/>
  <c r="J17" i="3"/>
  <c r="I17" i="3"/>
  <c r="F17" i="3"/>
  <c r="S16" i="3"/>
  <c r="R16" i="3"/>
  <c r="Q16" i="3"/>
  <c r="L16" i="3"/>
  <c r="K16" i="3"/>
  <c r="H16" i="3"/>
  <c r="F16" i="3"/>
  <c r="J16" i="3" s="1"/>
  <c r="R15" i="3"/>
  <c r="Q15" i="3"/>
  <c r="M15" i="3"/>
  <c r="J15" i="3"/>
  <c r="F15" i="3"/>
  <c r="S14" i="3"/>
  <c r="R14" i="3"/>
  <c r="Q14" i="3"/>
  <c r="O14" i="3"/>
  <c r="L14" i="3"/>
  <c r="K14" i="3"/>
  <c r="H14" i="3"/>
  <c r="F14" i="3"/>
  <c r="J14" i="3" s="1"/>
  <c r="R13" i="3"/>
  <c r="Q13" i="3"/>
  <c r="N13" i="3"/>
  <c r="M13" i="3"/>
  <c r="J13" i="3"/>
  <c r="I13" i="3"/>
  <c r="H13" i="3"/>
  <c r="F13" i="3"/>
  <c r="S12" i="3"/>
  <c r="R12" i="3"/>
  <c r="Q12" i="3"/>
  <c r="O12" i="3"/>
  <c r="N12" i="3"/>
  <c r="L12" i="3"/>
  <c r="J12" i="3"/>
  <c r="H12" i="3"/>
  <c r="F12" i="3"/>
  <c r="I12" i="3" s="1"/>
  <c r="R11" i="3"/>
  <c r="Q11" i="3"/>
  <c r="P11" i="3"/>
  <c r="M11" i="3"/>
  <c r="L11" i="3"/>
  <c r="J11" i="3"/>
  <c r="F11" i="3"/>
  <c r="S10" i="3"/>
  <c r="R10" i="3"/>
  <c r="Q10" i="3"/>
  <c r="P10" i="3"/>
  <c r="O10" i="3"/>
  <c r="L10" i="3"/>
  <c r="J10" i="3"/>
  <c r="F10" i="3"/>
  <c r="I10" i="3" s="1"/>
  <c r="S9" i="3"/>
  <c r="R9" i="3"/>
  <c r="Q9" i="3"/>
  <c r="P9" i="3"/>
  <c r="N9" i="3"/>
  <c r="L9" i="3"/>
  <c r="J9" i="3"/>
  <c r="I9" i="3"/>
  <c r="F9" i="3"/>
  <c r="S8" i="3"/>
  <c r="R8" i="3"/>
  <c r="Q8" i="3"/>
  <c r="O8" i="3"/>
  <c r="N8" i="3"/>
  <c r="J8" i="3"/>
  <c r="H8" i="3"/>
  <c r="F8" i="3"/>
  <c r="I8" i="3" s="1"/>
  <c r="S7" i="3"/>
  <c r="R7" i="3"/>
  <c r="Q7" i="3"/>
  <c r="N7" i="3"/>
  <c r="M7" i="3"/>
  <c r="I7" i="3"/>
  <c r="F7" i="3"/>
  <c r="H7" i="3" s="1"/>
  <c r="S6" i="3"/>
  <c r="R6" i="3"/>
  <c r="Q6" i="3"/>
  <c r="P6" i="3"/>
  <c r="O6" i="3"/>
  <c r="M6" i="3"/>
  <c r="L6" i="3"/>
  <c r="K6" i="3"/>
  <c r="I6" i="3"/>
  <c r="H6" i="3"/>
  <c r="F6" i="3"/>
  <c r="J6" i="3" s="1"/>
  <c r="S5" i="3"/>
  <c r="R5" i="3"/>
  <c r="Q5" i="3"/>
  <c r="O5" i="3"/>
  <c r="N5" i="3"/>
  <c r="M5" i="3"/>
  <c r="I5" i="3"/>
  <c r="F5" i="3"/>
  <c r="H5" i="3" s="1"/>
  <c r="S4" i="3"/>
  <c r="R4" i="3"/>
  <c r="Q4" i="3"/>
  <c r="P4" i="3"/>
  <c r="O4" i="3"/>
  <c r="M4" i="3"/>
  <c r="L4" i="3"/>
  <c r="K4" i="3"/>
  <c r="I4" i="3"/>
  <c r="H4" i="3"/>
  <c r="F4" i="3"/>
  <c r="J4" i="3" s="1"/>
  <c r="S3" i="3"/>
  <c r="R3" i="3"/>
  <c r="Q3" i="3"/>
  <c r="O3" i="3"/>
  <c r="N3" i="3"/>
  <c r="M3" i="3"/>
  <c r="F3" i="3"/>
  <c r="F21" i="3" s="1"/>
  <c r="G12" i="3" s="1"/>
  <c r="M21" i="3" l="1"/>
  <c r="G4" i="3"/>
  <c r="G6" i="3"/>
  <c r="P19" i="3"/>
  <c r="P17" i="3"/>
  <c r="P15" i="3"/>
  <c r="P13" i="3"/>
  <c r="L50" i="3"/>
  <c r="N49" i="3"/>
  <c r="L48" i="3"/>
  <c r="N47" i="3"/>
  <c r="L46" i="3"/>
  <c r="N45" i="3"/>
  <c r="L44" i="3"/>
  <c r="O38" i="3"/>
  <c r="M37" i="3"/>
  <c r="O36" i="3"/>
  <c r="M35" i="3"/>
  <c r="O34" i="3"/>
  <c r="M33" i="3"/>
  <c r="O32" i="3"/>
  <c r="M31" i="3"/>
  <c r="O30" i="3"/>
  <c r="M29" i="3"/>
  <c r="O28" i="3"/>
  <c r="M27" i="3"/>
  <c r="O26" i="3"/>
  <c r="G26" i="3"/>
  <c r="N20" i="3"/>
  <c r="L19" i="3"/>
  <c r="N18" i="3"/>
  <c r="L17" i="3"/>
  <c r="N16" i="3"/>
  <c r="L15" i="3"/>
  <c r="N14" i="3"/>
  <c r="O50" i="3"/>
  <c r="M49" i="3"/>
  <c r="O48" i="3"/>
  <c r="M47" i="3"/>
  <c r="O46" i="3"/>
  <c r="M45" i="3"/>
  <c r="O44" i="3"/>
  <c r="N38" i="3"/>
  <c r="L37" i="3"/>
  <c r="N36" i="3"/>
  <c r="L35" i="3"/>
  <c r="N34" i="3"/>
  <c r="L33" i="3"/>
  <c r="N32" i="3"/>
  <c r="L31" i="3"/>
  <c r="N30" i="3"/>
  <c r="L29" i="3"/>
  <c r="N28" i="3"/>
  <c r="L27" i="3"/>
  <c r="N26" i="3"/>
  <c r="M20" i="3"/>
  <c r="O19" i="3"/>
  <c r="M18" i="3"/>
  <c r="O17" i="3"/>
  <c r="M16" i="3"/>
  <c r="O15" i="3"/>
  <c r="M14" i="3"/>
  <c r="O13" i="3"/>
  <c r="M12" i="3"/>
  <c r="O11" i="3"/>
  <c r="M10" i="3"/>
  <c r="O9" i="3"/>
  <c r="M8" i="3"/>
  <c r="O7" i="3"/>
  <c r="N50" i="3"/>
  <c r="L49" i="3"/>
  <c r="N48" i="3"/>
  <c r="L47" i="3"/>
  <c r="N46" i="3"/>
  <c r="L45" i="3"/>
  <c r="N44" i="3"/>
  <c r="M38" i="3"/>
  <c r="O37" i="3"/>
  <c r="M36" i="3"/>
  <c r="O35" i="3"/>
  <c r="M34" i="3"/>
  <c r="O33" i="3"/>
  <c r="M32" i="3"/>
  <c r="O31" i="3"/>
  <c r="M30" i="3"/>
  <c r="O29" i="3"/>
  <c r="M28" i="3"/>
  <c r="O27" i="3"/>
  <c r="M26" i="3"/>
  <c r="M39" i="3" s="1"/>
  <c r="M50" i="3"/>
  <c r="O49" i="3"/>
  <c r="M48" i="3"/>
  <c r="O47" i="3"/>
  <c r="M46" i="3"/>
  <c r="O45" i="3"/>
  <c r="M44" i="3"/>
  <c r="L38" i="3"/>
  <c r="N37" i="3"/>
  <c r="L36" i="3"/>
  <c r="N35" i="3"/>
  <c r="L34" i="3"/>
  <c r="N33" i="3"/>
  <c r="L32" i="3"/>
  <c r="N31" i="3"/>
  <c r="L30" i="3"/>
  <c r="N29" i="3"/>
  <c r="L28" i="3"/>
  <c r="N27" i="3"/>
  <c r="L26" i="3"/>
  <c r="O20" i="3"/>
  <c r="M19" i="3"/>
  <c r="O18" i="3"/>
  <c r="G38" i="3"/>
  <c r="G36" i="3"/>
  <c r="G34" i="3"/>
  <c r="G32" i="3"/>
  <c r="G30" i="3"/>
  <c r="G28" i="3"/>
  <c r="G37" i="3"/>
  <c r="G35" i="3"/>
  <c r="G33" i="3"/>
  <c r="G31" i="3"/>
  <c r="G29" i="3"/>
  <c r="G27" i="3"/>
  <c r="G20" i="3"/>
  <c r="J5" i="3"/>
  <c r="J7" i="3"/>
  <c r="K10" i="3"/>
  <c r="K11" i="3"/>
  <c r="G11" i="3"/>
  <c r="G14" i="3"/>
  <c r="G3" i="3"/>
  <c r="O21" i="3"/>
  <c r="G5" i="3"/>
  <c r="K5" i="3"/>
  <c r="G7" i="3"/>
  <c r="K7" i="3"/>
  <c r="P7" i="3"/>
  <c r="K8" i="3"/>
  <c r="P8" i="3"/>
  <c r="K9" i="3"/>
  <c r="G9" i="3"/>
  <c r="G10" i="3"/>
  <c r="H11" i="3"/>
  <c r="P14" i="3"/>
  <c r="H15" i="3"/>
  <c r="K15" i="3"/>
  <c r="G15" i="3"/>
  <c r="N15" i="3"/>
  <c r="G16" i="3"/>
  <c r="O16" i="3"/>
  <c r="M17" i="3"/>
  <c r="L18" i="3"/>
  <c r="L3" i="3"/>
  <c r="P3" i="3"/>
  <c r="N4" i="3"/>
  <c r="L5" i="3"/>
  <c r="P5" i="3"/>
  <c r="N6" i="3"/>
  <c r="N21" i="3" s="1"/>
  <c r="L7" i="3"/>
  <c r="G8" i="3"/>
  <c r="L8" i="3"/>
  <c r="H9" i="3"/>
  <c r="M9" i="3"/>
  <c r="H10" i="3"/>
  <c r="N10" i="3"/>
  <c r="I11" i="3"/>
  <c r="N11" i="3"/>
  <c r="K12" i="3"/>
  <c r="P12" i="3"/>
  <c r="K13" i="3"/>
  <c r="G13" i="3"/>
  <c r="L13" i="3"/>
  <c r="I15" i="3"/>
  <c r="P16" i="3"/>
  <c r="H17" i="3"/>
  <c r="K17" i="3"/>
  <c r="G17" i="3"/>
  <c r="N17" i="3"/>
  <c r="G18" i="3"/>
  <c r="P18" i="3"/>
  <c r="H19" i="3"/>
  <c r="K19" i="3"/>
  <c r="G19" i="3"/>
  <c r="I19" i="3"/>
  <c r="L20" i="3"/>
  <c r="J27" i="3"/>
  <c r="J29" i="3"/>
  <c r="J31" i="3"/>
  <c r="J33" i="3"/>
  <c r="J35" i="3"/>
  <c r="J37" i="3"/>
  <c r="H38" i="3"/>
  <c r="P38" i="3"/>
  <c r="F39" i="3"/>
  <c r="I44" i="3"/>
  <c r="G45" i="3"/>
  <c r="K45" i="3"/>
  <c r="I46" i="3"/>
  <c r="G47" i="3"/>
  <c r="K47" i="3"/>
  <c r="I48" i="3"/>
  <c r="G49" i="3"/>
  <c r="K49" i="3"/>
  <c r="I50" i="3"/>
  <c r="J44" i="3"/>
  <c r="J46" i="3"/>
  <c r="J48" i="3"/>
  <c r="J50" i="3"/>
  <c r="S11" i="3"/>
  <c r="S13" i="3"/>
  <c r="I14" i="3"/>
  <c r="S15" i="3"/>
  <c r="I16" i="3"/>
  <c r="S17" i="3"/>
  <c r="I18" i="3"/>
  <c r="I20" i="3"/>
  <c r="H27" i="3"/>
  <c r="H29" i="3"/>
  <c r="H31" i="3"/>
  <c r="H33" i="3"/>
  <c r="H35" i="3"/>
  <c r="H37" i="3"/>
  <c r="G44" i="3"/>
  <c r="K44" i="3"/>
  <c r="I45" i="3"/>
  <c r="G46" i="3"/>
  <c r="K46" i="3"/>
  <c r="I47" i="3"/>
  <c r="G48" i="3"/>
  <c r="K48" i="3"/>
  <c r="I49" i="3"/>
  <c r="G50" i="3"/>
  <c r="K50" i="3"/>
  <c r="L39" i="3" l="1"/>
  <c r="L21" i="3"/>
  <c r="N51" i="3"/>
  <c r="N39" i="3"/>
  <c r="O39" i="3"/>
  <c r="M51" i="3"/>
  <c r="O51" i="3"/>
  <c r="L51" i="3"/>
</calcChain>
</file>

<file path=xl/sharedStrings.xml><?xml version="1.0" encoding="utf-8"?>
<sst xmlns="http://schemas.openxmlformats.org/spreadsheetml/2006/main" count="110" uniqueCount="39">
  <si>
    <t>Total</t>
  </si>
  <si>
    <t>Excitatory_deep</t>
  </si>
  <si>
    <t>VIP</t>
  </si>
  <si>
    <t>Excitatory_superficial</t>
  </si>
  <si>
    <t>LAMP5</t>
  </si>
  <si>
    <t>Medium</t>
  </si>
  <si>
    <t>OPC</t>
  </si>
  <si>
    <t>SST</t>
  </si>
  <si>
    <t>Microglia</t>
  </si>
  <si>
    <t>L6</t>
  </si>
  <si>
    <t>L2</t>
  </si>
  <si>
    <t>Deep</t>
  </si>
  <si>
    <t>Counts</t>
  </si>
  <si>
    <t>Percentage per sex</t>
  </si>
  <si>
    <t>Percentage at total</t>
  </si>
  <si>
    <t>Relative percentage</t>
  </si>
  <si>
    <t>Astrocyte</t>
  </si>
  <si>
    <t>Basket</t>
  </si>
  <si>
    <t>Endothelial</t>
  </si>
  <si>
    <t>L2_3</t>
  </si>
  <si>
    <t>L3_4_5</t>
  </si>
  <si>
    <t>L4_5</t>
  </si>
  <si>
    <t>L4_6</t>
  </si>
  <si>
    <t>L5_6</t>
  </si>
  <si>
    <t>Oligodendrocyte</t>
  </si>
  <si>
    <t>PVALB_Chandelier</t>
  </si>
  <si>
    <t>Reelin</t>
  </si>
  <si>
    <t>Superficial</t>
  </si>
  <si>
    <t>Inhibitory_neuron</t>
  </si>
  <si>
    <t>Excitatory_neuron</t>
  </si>
  <si>
    <t>CTRL_Female</t>
  </si>
  <si>
    <t>SCZ_Female</t>
  </si>
  <si>
    <t>CTRL_Male</t>
  </si>
  <si>
    <t>SCZ_Male</t>
  </si>
  <si>
    <t>Porcentaje</t>
  </si>
  <si>
    <t>Female CTRL</t>
  </si>
  <si>
    <t>Female SCZ</t>
  </si>
  <si>
    <t>Male CTRL</t>
  </si>
  <si>
    <t>Male SCZ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</si>
</sst>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b/>
      <sz val="11"/>
      <color rgb="FFFFFFFF"/>
      <name val="Arial"/>
      <scheme val="minor"/>
    </font>
    <font>
      <sz val="11"/>
      <color rgb="FF000000"/>
      <name val="&quot;Aptos Narrow&quot;"/>
    </font>
    <font>
      <sz val="11"/>
      <color rgb="FF000000"/>
      <name val="Arial"/>
    </font>
    <font>
      <b/>
      <sz val="11"/>
      <color rgb="FF000000"/>
      <name val="&quot;Aptos Narrow&quot;"/>
    </font>
    <font>
      <b/>
      <sz val="11"/>
      <color rgb="FF000000"/>
      <name val="Arial"/>
      <scheme val="minor"/>
    </font>
    <font>
      <sz val="11"/>
      <color theme="1"/>
      <name val="Arial"/>
    </font>
    <font>
      <sz val="11"/>
      <color theme="1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0B5394"/>
        <bgColor rgb="FF0B5394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1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3" fillId="2" borderId="2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4" fillId="0" borderId="0" xfId="0" applyFont="1"/>
    <xf numFmtId="0" fontId="5" fillId="6" borderId="7" xfId="0" applyFont="1" applyFill="1" applyBorder="1"/>
    <xf numFmtId="0" fontId="3" fillId="3" borderId="0" xfId="0" applyFont="1" applyFill="1"/>
    <xf numFmtId="0" fontId="3" fillId="0" borderId="0" xfId="0" applyFont="1"/>
    <xf numFmtId="0" fontId="6" fillId="0" borderId="9" xfId="0" applyFont="1" applyBorder="1"/>
    <xf numFmtId="0" fontId="6" fillId="0" borderId="9" xfId="0" applyFont="1" applyBorder="1" applyAlignment="1">
      <alignment horizontal="right"/>
    </xf>
    <xf numFmtId="4" fontId="6" fillId="0" borderId="0" xfId="0" applyNumberFormat="1" applyFont="1"/>
    <xf numFmtId="4" fontId="6" fillId="0" borderId="9" xfId="0" applyNumberFormat="1" applyFont="1" applyBorder="1"/>
    <xf numFmtId="4" fontId="6" fillId="0" borderId="10" xfId="0" applyNumberFormat="1" applyFont="1" applyBorder="1"/>
    <xf numFmtId="4" fontId="6" fillId="0" borderId="11" xfId="0" applyNumberFormat="1" applyFont="1" applyBorder="1"/>
    <xf numFmtId="0" fontId="6" fillId="0" borderId="0" xfId="0" applyFont="1"/>
    <xf numFmtId="0" fontId="6" fillId="4" borderId="7" xfId="0" applyFont="1" applyFill="1" applyBorder="1" applyAlignment="1">
      <alignment horizontal="right"/>
    </xf>
    <xf numFmtId="0" fontId="6" fillId="5" borderId="0" xfId="0" applyFont="1" applyFill="1" applyAlignment="1">
      <alignment horizontal="right"/>
    </xf>
    <xf numFmtId="0" fontId="6" fillId="0" borderId="0" xfId="0" applyFont="1" applyAlignment="1">
      <alignment horizontal="right"/>
    </xf>
    <xf numFmtId="4" fontId="6" fillId="0" borderId="7" xfId="0" applyNumberFormat="1" applyFont="1" applyBorder="1"/>
    <xf numFmtId="4" fontId="6" fillId="0" borderId="8" xfId="0" applyNumberFormat="1" applyFont="1" applyBorder="1"/>
    <xf numFmtId="0" fontId="6" fillId="0" borderId="5" xfId="0" applyFont="1" applyBorder="1"/>
    <xf numFmtId="4" fontId="6" fillId="0" borderId="5" xfId="0" applyNumberFormat="1" applyFont="1" applyBorder="1"/>
    <xf numFmtId="4" fontId="6" fillId="0" borderId="6" xfId="0" applyNumberFormat="1" applyFont="1" applyBorder="1"/>
    <xf numFmtId="0" fontId="4" fillId="0" borderId="5" xfId="0" applyFont="1" applyBorder="1"/>
    <xf numFmtId="4" fontId="4" fillId="0" borderId="0" xfId="0" applyNumberFormat="1" applyFont="1"/>
    <xf numFmtId="4" fontId="4" fillId="0" borderId="7" xfId="0" applyNumberFormat="1" applyFont="1" applyBorder="1"/>
    <xf numFmtId="0" fontId="7" fillId="0" borderId="0" xfId="0" applyFont="1"/>
    <xf numFmtId="0" fontId="7" fillId="4" borderId="7" xfId="0" applyFont="1" applyFill="1" applyBorder="1" applyAlignment="1">
      <alignment horizontal="right"/>
    </xf>
    <xf numFmtId="0" fontId="7" fillId="5" borderId="0" xfId="0" applyFont="1" applyFill="1" applyAlignment="1">
      <alignment horizontal="right"/>
    </xf>
    <xf numFmtId="4" fontId="4" fillId="0" borderId="10" xfId="0" applyNumberFormat="1" applyFont="1" applyBorder="1"/>
    <xf numFmtId="0" fontId="2" fillId="0" borderId="7" xfId="0" applyFont="1" applyBorder="1"/>
    <xf numFmtId="0" fontId="3" fillId="8" borderId="0" xfId="0" applyFont="1" applyFill="1"/>
    <xf numFmtId="0" fontId="3" fillId="9" borderId="0" xfId="0" applyFont="1" applyFill="1"/>
    <xf numFmtId="0" fontId="9" fillId="7" borderId="7" xfId="0" applyFont="1" applyFill="1" applyBorder="1"/>
    <xf numFmtId="0" fontId="10" fillId="4" borderId="10" xfId="0" applyFont="1" applyFill="1" applyBorder="1" applyAlignment="1">
      <alignment horizontal="right"/>
    </xf>
    <xf numFmtId="0" fontId="10" fillId="5" borderId="9" xfId="0" applyFont="1" applyFill="1" applyBorder="1" applyAlignment="1">
      <alignment horizontal="right"/>
    </xf>
    <xf numFmtId="0" fontId="10" fillId="8" borderId="9" xfId="0" applyFont="1" applyFill="1" applyBorder="1" applyAlignment="1">
      <alignment horizontal="right"/>
    </xf>
    <xf numFmtId="0" fontId="10" fillId="9" borderId="9" xfId="0" applyFont="1" applyFill="1" applyBorder="1" applyAlignment="1">
      <alignment horizontal="right"/>
    </xf>
    <xf numFmtId="10" fontId="6" fillId="0" borderId="10" xfId="0" applyNumberFormat="1" applyFont="1" applyBorder="1"/>
    <xf numFmtId="4" fontId="4" fillId="0" borderId="9" xfId="0" applyNumberFormat="1" applyFont="1" applyBorder="1"/>
    <xf numFmtId="4" fontId="4" fillId="8" borderId="9" xfId="0" applyNumberFormat="1" applyFont="1" applyFill="1" applyBorder="1"/>
    <xf numFmtId="4" fontId="4" fillId="9" borderId="9" xfId="0" applyNumberFormat="1" applyFont="1" applyFill="1" applyBorder="1"/>
    <xf numFmtId="0" fontId="2" fillId="0" borderId="10" xfId="0" applyFont="1" applyBorder="1"/>
    <xf numFmtId="0" fontId="2" fillId="0" borderId="9" xfId="0" applyFont="1" applyBorder="1"/>
    <xf numFmtId="0" fontId="10" fillId="4" borderId="7" xfId="0" applyFont="1" applyFill="1" applyBorder="1" applyAlignment="1">
      <alignment horizontal="right"/>
    </xf>
    <xf numFmtId="0" fontId="10" fillId="5" borderId="0" xfId="0" applyFont="1" applyFill="1" applyAlignment="1">
      <alignment horizontal="right"/>
    </xf>
    <xf numFmtId="0" fontId="10" fillId="8" borderId="0" xfId="0" applyFont="1" applyFill="1" applyAlignment="1">
      <alignment horizontal="right"/>
    </xf>
    <xf numFmtId="0" fontId="10" fillId="9" borderId="0" xfId="0" applyFont="1" applyFill="1" applyAlignment="1">
      <alignment horizontal="right"/>
    </xf>
    <xf numFmtId="10" fontId="6" fillId="0" borderId="7" xfId="0" applyNumberFormat="1" applyFont="1" applyBorder="1"/>
    <xf numFmtId="4" fontId="4" fillId="8" borderId="0" xfId="0" applyNumberFormat="1" applyFont="1" applyFill="1"/>
    <xf numFmtId="4" fontId="4" fillId="9" borderId="0" xfId="0" applyNumberFormat="1" applyFont="1" applyFill="1"/>
    <xf numFmtId="0" fontId="11" fillId="4" borderId="7" xfId="0" applyFont="1" applyFill="1" applyBorder="1" applyAlignment="1">
      <alignment horizontal="right"/>
    </xf>
    <xf numFmtId="0" fontId="11" fillId="5" borderId="0" xfId="0" applyFont="1" applyFill="1" applyAlignment="1">
      <alignment horizontal="right"/>
    </xf>
    <xf numFmtId="0" fontId="11" fillId="8" borderId="0" xfId="0" applyFont="1" applyFill="1" applyAlignment="1">
      <alignment horizontal="right"/>
    </xf>
    <xf numFmtId="0" fontId="7" fillId="8" borderId="0" xfId="0" applyFont="1" applyFill="1" applyAlignment="1">
      <alignment horizontal="right"/>
    </xf>
    <xf numFmtId="0" fontId="7" fillId="9" borderId="0" xfId="0" applyFont="1" applyFill="1" applyAlignment="1">
      <alignment horizontal="right"/>
    </xf>
    <xf numFmtId="0" fontId="6" fillId="9" borderId="0" xfId="0" applyFont="1" applyFill="1" applyAlignment="1">
      <alignment horizontal="right"/>
    </xf>
    <xf numFmtId="0" fontId="7" fillId="4" borderId="4" xfId="0" applyFont="1" applyFill="1" applyBorder="1" applyAlignment="1">
      <alignment horizontal="right"/>
    </xf>
    <xf numFmtId="0" fontId="7" fillId="5" borderId="5" xfId="0" applyFont="1" applyFill="1" applyBorder="1" applyAlignment="1">
      <alignment horizontal="right"/>
    </xf>
    <xf numFmtId="0" fontId="7" fillId="8" borderId="5" xfId="0" applyFont="1" applyFill="1" applyBorder="1" applyAlignment="1">
      <alignment horizontal="right"/>
    </xf>
    <xf numFmtId="0" fontId="7" fillId="9" borderId="5" xfId="0" applyFont="1" applyFill="1" applyBorder="1" applyAlignment="1">
      <alignment horizontal="right"/>
    </xf>
    <xf numFmtId="0" fontId="6" fillId="0" borderId="12" xfId="0" applyFont="1" applyBorder="1"/>
    <xf numFmtId="0" fontId="8" fillId="0" borderId="3" xfId="0" applyFont="1" applyBorder="1" applyAlignment="1">
      <alignment horizontal="right"/>
    </xf>
    <xf numFmtId="0" fontId="8" fillId="0" borderId="12" xfId="0" applyFont="1" applyBorder="1" applyAlignment="1">
      <alignment horizontal="right"/>
    </xf>
    <xf numFmtId="4" fontId="8" fillId="0" borderId="3" xfId="0" applyNumberFormat="1" applyFont="1" applyBorder="1" applyAlignment="1">
      <alignment horizontal="right"/>
    </xf>
    <xf numFmtId="4" fontId="8" fillId="0" borderId="12" xfId="0" applyNumberFormat="1" applyFont="1" applyBorder="1" applyAlignment="1">
      <alignment horizontal="right"/>
    </xf>
    <xf numFmtId="4" fontId="6" fillId="8" borderId="9" xfId="0" applyNumberFormat="1" applyFont="1" applyFill="1" applyBorder="1" applyAlignment="1">
      <alignment horizontal="right"/>
    </xf>
    <xf numFmtId="4" fontId="6" fillId="9" borderId="9" xfId="0" applyNumberFormat="1" applyFont="1" applyFill="1" applyBorder="1" applyAlignment="1">
      <alignment horizontal="right"/>
    </xf>
    <xf numFmtId="4" fontId="6" fillId="8" borderId="0" xfId="0" applyNumberFormat="1" applyFont="1" applyFill="1" applyAlignment="1">
      <alignment horizontal="right"/>
    </xf>
    <xf numFmtId="4" fontId="6" fillId="9" borderId="0" xfId="0" applyNumberFormat="1" applyFont="1" applyFill="1" applyAlignment="1">
      <alignment horizontal="right"/>
    </xf>
    <xf numFmtId="4" fontId="6" fillId="9" borderId="8" xfId="0" applyNumberFormat="1" applyFont="1" applyFill="1" applyBorder="1" applyAlignment="1">
      <alignment horizontal="right"/>
    </xf>
    <xf numFmtId="4" fontId="6" fillId="0" borderId="4" xfId="0" applyNumberFormat="1" applyFont="1" applyBorder="1"/>
    <xf numFmtId="0" fontId="2" fillId="0" borderId="4" xfId="0" applyFont="1" applyBorder="1"/>
    <xf numFmtId="0" fontId="2" fillId="0" borderId="5" xfId="0" applyFont="1" applyBorder="1"/>
    <xf numFmtId="0" fontId="4" fillId="0" borderId="3" xfId="0" applyFont="1" applyBorder="1"/>
    <xf numFmtId="4" fontId="4" fillId="0" borderId="3" xfId="0" applyNumberFormat="1" applyFont="1" applyBorder="1"/>
    <xf numFmtId="0" fontId="2" fillId="0" borderId="3" xfId="0" applyFont="1" applyBorder="1"/>
    <xf numFmtId="0" fontId="2" fillId="0" borderId="12" xfId="0" applyFont="1" applyBorder="1"/>
    <xf numFmtId="0" fontId="3" fillId="2" borderId="13" xfId="0" applyFont="1" applyFill="1" applyBorder="1"/>
    <xf numFmtId="0" fontId="3" fillId="0" borderId="7" xfId="0" applyFont="1" applyBorder="1"/>
    <xf numFmtId="0" fontId="7" fillId="4" borderId="10" xfId="0" applyFont="1" applyFill="1" applyBorder="1" applyAlignment="1">
      <alignment horizontal="right"/>
    </xf>
    <xf numFmtId="0" fontId="7" fillId="5" borderId="9" xfId="0" applyFont="1" applyFill="1" applyBorder="1" applyAlignment="1">
      <alignment horizontal="right"/>
    </xf>
    <xf numFmtId="0" fontId="7" fillId="8" borderId="9" xfId="0" applyFont="1" applyFill="1" applyBorder="1" applyAlignment="1">
      <alignment horizontal="right"/>
    </xf>
    <xf numFmtId="0" fontId="7" fillId="9" borderId="9" xfId="0" applyFont="1" applyFill="1" applyBorder="1" applyAlignment="1">
      <alignment horizontal="right"/>
    </xf>
    <xf numFmtId="0" fontId="6" fillId="0" borderId="11" xfId="0" applyFont="1" applyBorder="1" applyAlignment="1">
      <alignment horizontal="right"/>
    </xf>
    <xf numFmtId="4" fontId="6" fillId="9" borderId="11" xfId="0" applyNumberFormat="1" applyFont="1" applyFill="1" applyBorder="1" applyAlignment="1">
      <alignment horizontal="right"/>
    </xf>
    <xf numFmtId="0" fontId="6" fillId="0" borderId="8" xfId="0" applyFont="1" applyBorder="1" applyAlignment="1">
      <alignment horizontal="right"/>
    </xf>
    <xf numFmtId="0" fontId="6" fillId="8" borderId="0" xfId="0" applyFont="1" applyFill="1" applyAlignment="1">
      <alignment horizontal="right"/>
    </xf>
    <xf numFmtId="0" fontId="6" fillId="0" borderId="6" xfId="0" applyFont="1" applyBorder="1" applyAlignment="1">
      <alignment horizontal="right"/>
    </xf>
    <xf numFmtId="4" fontId="4" fillId="0" borderId="4" xfId="0" applyNumberFormat="1" applyFont="1" applyBorder="1"/>
    <xf numFmtId="4" fontId="4" fillId="0" borderId="5" xfId="0" applyNumberFormat="1" applyFont="1" applyBorder="1"/>
    <xf numFmtId="4" fontId="6" fillId="8" borderId="5" xfId="0" applyNumberFormat="1" applyFont="1" applyFill="1" applyBorder="1" applyAlignment="1">
      <alignment horizontal="right"/>
    </xf>
    <xf numFmtId="4" fontId="6" fillId="9" borderId="6" xfId="0" applyNumberFormat="1" applyFont="1" applyFill="1" applyBorder="1" applyAlignment="1">
      <alignment horizontal="right"/>
    </xf>
    <xf numFmtId="0" fontId="8" fillId="0" borderId="1" xfId="0" applyFont="1" applyBorder="1" applyAlignment="1">
      <alignment horizontal="right"/>
    </xf>
    <xf numFmtId="4" fontId="4" fillId="0" borderId="12" xfId="0" applyNumberFormat="1" applyFont="1" applyBorder="1"/>
    <xf numFmtId="4" fontId="6" fillId="0" borderId="12" xfId="0" applyNumberFormat="1" applyFont="1" applyBorder="1" applyAlignment="1">
      <alignment horizontal="right"/>
    </xf>
    <xf numFmtId="4" fontId="6" fillId="0" borderId="1" xfId="0" applyNumberFormat="1" applyFont="1" applyBorder="1" applyAlignment="1">
      <alignment horizontal="right"/>
    </xf>
    <xf numFmtId="0" fontId="4" fillId="0" borderId="12" xfId="0" applyFont="1" applyBorder="1"/>
    <xf numFmtId="0" fontId="4" fillId="0" borderId="1" xfId="0" applyFont="1" applyBorder="1"/>
    <xf numFmtId="0" fontId="3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3" fillId="0" borderId="7" xfId="0" applyFont="1" applyBorder="1"/>
    <xf numFmtId="0" fontId="0" fillId="0" borderId="0" xfId="0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G984"/>
  <sheetViews>
    <sheetView tabSelected="1" workbookViewId="0">
      <pane xSplit="1" topLeftCell="B1" activePane="topRight" state="frozen"/>
      <selection pane="topRight" activeCell="C53" sqref="C53"/>
    </sheetView>
  </sheetViews>
  <sheetFormatPr baseColWidth="10" defaultColWidth="12.6640625" defaultRowHeight="15.75" customHeight="1"/>
  <cols>
    <col min="1" max="1" width="20.1640625" customWidth="1"/>
  </cols>
  <sheetData>
    <row r="1" spans="1:33" ht="15.75" customHeight="1">
      <c r="A1" s="1" t="s">
        <v>11</v>
      </c>
      <c r="B1" s="99" t="s">
        <v>12</v>
      </c>
      <c r="C1" s="100"/>
      <c r="D1" s="100"/>
      <c r="E1" s="100"/>
      <c r="F1" s="100"/>
      <c r="G1" s="2"/>
      <c r="H1" s="99" t="s">
        <v>13</v>
      </c>
      <c r="I1" s="100"/>
      <c r="J1" s="2"/>
      <c r="K1" s="2"/>
      <c r="L1" s="99" t="s">
        <v>14</v>
      </c>
      <c r="M1" s="101"/>
      <c r="N1" s="3"/>
      <c r="O1" s="3"/>
      <c r="P1" s="99" t="s">
        <v>15</v>
      </c>
      <c r="Q1" s="100"/>
      <c r="T1" s="30"/>
    </row>
    <row r="2" spans="1:33" ht="15.75" customHeight="1">
      <c r="A2" s="4"/>
      <c r="B2" s="5" t="s">
        <v>30</v>
      </c>
      <c r="C2" s="6" t="s">
        <v>31</v>
      </c>
      <c r="D2" s="31" t="s">
        <v>32</v>
      </c>
      <c r="E2" s="32" t="s">
        <v>33</v>
      </c>
      <c r="F2" s="7" t="s">
        <v>0</v>
      </c>
      <c r="G2" s="33" t="s">
        <v>34</v>
      </c>
      <c r="H2" s="5" t="s">
        <v>35</v>
      </c>
      <c r="I2" s="6" t="s">
        <v>36</v>
      </c>
      <c r="J2" s="31" t="s">
        <v>37</v>
      </c>
      <c r="K2" s="32" t="s">
        <v>38</v>
      </c>
      <c r="L2" s="5" t="s">
        <v>35</v>
      </c>
      <c r="M2" s="6" t="s">
        <v>36</v>
      </c>
      <c r="N2" s="31" t="s">
        <v>37</v>
      </c>
      <c r="O2" s="32" t="s">
        <v>38</v>
      </c>
      <c r="P2" s="5" t="s">
        <v>35</v>
      </c>
      <c r="Q2" s="6" t="s">
        <v>36</v>
      </c>
      <c r="R2" s="31" t="s">
        <v>37</v>
      </c>
      <c r="S2" s="32" t="s">
        <v>38</v>
      </c>
      <c r="T2" s="30"/>
    </row>
    <row r="3" spans="1:33">
      <c r="A3" s="8" t="s">
        <v>16</v>
      </c>
      <c r="B3" s="34">
        <v>19567</v>
      </c>
      <c r="C3" s="35">
        <v>22775</v>
      </c>
      <c r="D3" s="36">
        <v>27819</v>
      </c>
      <c r="E3" s="37">
        <v>45855</v>
      </c>
      <c r="F3" s="9">
        <f t="shared" ref="F3:F20" si="0">SUM(B3:E3)</f>
        <v>116016</v>
      </c>
      <c r="G3" s="38">
        <f t="shared" ref="G3:G20" si="1">F3/$F$21</f>
        <v>9.2547447957217061E-2</v>
      </c>
      <c r="H3" s="11">
        <f t="shared" ref="H3:K3" si="2">B3/$F3*100</f>
        <v>16.865777134188388</v>
      </c>
      <c r="I3" s="11">
        <f t="shared" si="2"/>
        <v>19.630912977520342</v>
      </c>
      <c r="J3" s="11">
        <f t="shared" si="2"/>
        <v>23.978589160115845</v>
      </c>
      <c r="K3" s="11">
        <f t="shared" si="2"/>
        <v>39.524720728175424</v>
      </c>
      <c r="L3" s="12">
        <f t="shared" ref="L3:O3" si="3">B3/$F$51*100</f>
        <v>1.5608846315843214</v>
      </c>
      <c r="M3" s="11">
        <f t="shared" si="3"/>
        <v>1.8167908971397209</v>
      </c>
      <c r="N3" s="11">
        <f t="shared" si="3"/>
        <v>2.2191572323833104</v>
      </c>
      <c r="O3" s="11">
        <f t="shared" si="3"/>
        <v>3.6579120346143537</v>
      </c>
      <c r="P3" s="29">
        <f t="shared" ref="P3:P20" si="4">B3/$B$21*100</f>
        <v>7.2021436747974663</v>
      </c>
      <c r="Q3" s="39">
        <f t="shared" ref="Q3:Q20" si="5">C3/$C$21*100</f>
        <v>9.3073911515419017</v>
      </c>
      <c r="R3" s="40">
        <f t="shared" ref="R3:R20" si="6">D3/$D$21*100</f>
        <v>7.8239959500506249</v>
      </c>
      <c r="S3" s="41">
        <f t="shared" ref="S3:S20" si="7">E3/$E$21*100</f>
        <v>12.015155524927748</v>
      </c>
      <c r="T3" s="42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</row>
    <row r="4" spans="1:33">
      <c r="A4" s="14" t="s">
        <v>17</v>
      </c>
      <c r="B4" s="44">
        <v>14486</v>
      </c>
      <c r="C4" s="45">
        <v>11811</v>
      </c>
      <c r="D4" s="46">
        <v>18930</v>
      </c>
      <c r="E4" s="47">
        <v>17628</v>
      </c>
      <c r="F4" s="17">
        <f t="shared" si="0"/>
        <v>62855</v>
      </c>
      <c r="G4" s="48">
        <f t="shared" si="1"/>
        <v>5.0140237909864833E-2</v>
      </c>
      <c r="H4" s="10">
        <f t="shared" ref="H4:K4" si="8">B4/$F$4*100</f>
        <v>23.046694773685466</v>
      </c>
      <c r="I4" s="10">
        <f t="shared" si="8"/>
        <v>18.790867870495585</v>
      </c>
      <c r="J4" s="10">
        <f t="shared" si="8"/>
        <v>30.116935804629701</v>
      </c>
      <c r="K4" s="10">
        <f t="shared" si="8"/>
        <v>28.045501551189243</v>
      </c>
      <c r="L4" s="18">
        <f t="shared" ref="L4:O4" si="9">B4/$F$51*100</f>
        <v>1.1555667589886278</v>
      </c>
      <c r="M4" s="10">
        <f t="shared" si="9"/>
        <v>0.94217858555948386</v>
      </c>
      <c r="N4" s="10">
        <f t="shared" si="9"/>
        <v>1.5100703263602597</v>
      </c>
      <c r="O4" s="10">
        <f t="shared" si="9"/>
        <v>1.406208120078112</v>
      </c>
      <c r="P4" s="25">
        <f t="shared" si="4"/>
        <v>5.331949367461343</v>
      </c>
      <c r="Q4" s="24">
        <f t="shared" si="5"/>
        <v>4.8267660544834854</v>
      </c>
      <c r="R4" s="49">
        <f t="shared" si="6"/>
        <v>5.323995950050624</v>
      </c>
      <c r="S4" s="50">
        <f t="shared" si="7"/>
        <v>4.6189763732074214</v>
      </c>
      <c r="T4" s="30"/>
    </row>
    <row r="5" spans="1:33">
      <c r="A5" s="14" t="s">
        <v>18</v>
      </c>
      <c r="B5" s="51">
        <v>3159</v>
      </c>
      <c r="C5" s="52">
        <v>2266</v>
      </c>
      <c r="D5" s="53">
        <v>3279</v>
      </c>
      <c r="E5" s="47">
        <v>5104</v>
      </c>
      <c r="F5" s="17">
        <f t="shared" si="0"/>
        <v>13808</v>
      </c>
      <c r="G5" s="48">
        <f t="shared" si="1"/>
        <v>1.1014818312933158E-2</v>
      </c>
      <c r="H5" s="10">
        <f t="shared" ref="H5:K5" si="10">B5/$F$5*100</f>
        <v>22.878041714947855</v>
      </c>
      <c r="I5" s="10">
        <f t="shared" si="10"/>
        <v>16.410776361529546</v>
      </c>
      <c r="J5" s="10">
        <f t="shared" si="10"/>
        <v>23.747103128621088</v>
      </c>
      <c r="K5" s="10">
        <f t="shared" si="10"/>
        <v>36.964078794901503</v>
      </c>
      <c r="L5" s="18">
        <f t="shared" ref="L5:O5" si="11">B5/$F$51*100</f>
        <v>0.25199747284585639</v>
      </c>
      <c r="M5" s="10">
        <f t="shared" si="11"/>
        <v>0.18076171999642623</v>
      </c>
      <c r="N5" s="10">
        <f t="shared" si="11"/>
        <v>0.2615700264202479</v>
      </c>
      <c r="O5" s="10">
        <f t="shared" si="11"/>
        <v>0.4071526120307854</v>
      </c>
      <c r="P5" s="25">
        <f t="shared" si="4"/>
        <v>1.1627521780899062</v>
      </c>
      <c r="Q5" s="24">
        <f t="shared" si="5"/>
        <v>0.92603944453980014</v>
      </c>
      <c r="R5" s="49">
        <f t="shared" si="6"/>
        <v>0.92220722240971986</v>
      </c>
      <c r="S5" s="50">
        <f t="shared" si="7"/>
        <v>1.3373755053806831</v>
      </c>
      <c r="T5" s="30"/>
    </row>
    <row r="6" spans="1:33">
      <c r="A6" s="14" t="s">
        <v>10</v>
      </c>
      <c r="B6" s="27">
        <v>37093</v>
      </c>
      <c r="C6" s="28">
        <v>25869</v>
      </c>
      <c r="D6" s="54">
        <v>40710</v>
      </c>
      <c r="E6" s="55">
        <v>44081</v>
      </c>
      <c r="F6" s="17">
        <f t="shared" si="0"/>
        <v>147753</v>
      </c>
      <c r="G6" s="48">
        <f t="shared" si="1"/>
        <v>0.11786445902308899</v>
      </c>
      <c r="H6" s="10">
        <f t="shared" ref="H6:K6" si="12">B6/$F$6*100</f>
        <v>25.104735606045224</v>
      </c>
      <c r="I6" s="10">
        <f t="shared" si="12"/>
        <v>17.508273943676269</v>
      </c>
      <c r="J6" s="10">
        <f t="shared" si="12"/>
        <v>27.55274004588739</v>
      </c>
      <c r="K6" s="10">
        <f t="shared" si="12"/>
        <v>29.83425040439111</v>
      </c>
      <c r="L6" s="18">
        <f t="shared" ref="L6:O6" si="13">B6/$F$51*100</f>
        <v>2.9589560811242008</v>
      </c>
      <c r="M6" s="10">
        <f t="shared" si="13"/>
        <v>2.0636032367994486</v>
      </c>
      <c r="N6" s="10">
        <f t="shared" si="13"/>
        <v>3.2474888001123179</v>
      </c>
      <c r="O6" s="10">
        <f t="shared" si="13"/>
        <v>3.5163977842729328</v>
      </c>
      <c r="P6" s="25">
        <f t="shared" si="4"/>
        <v>13.653044172804336</v>
      </c>
      <c r="Q6" s="24">
        <f t="shared" si="5"/>
        <v>10.57180688031778</v>
      </c>
      <c r="R6" s="49">
        <f t="shared" si="6"/>
        <v>11.44954438069524</v>
      </c>
      <c r="S6" s="50">
        <f t="shared" si="7"/>
        <v>11.550323207814634</v>
      </c>
      <c r="T6" s="30"/>
    </row>
    <row r="7" spans="1:33">
      <c r="A7" s="14" t="s">
        <v>19</v>
      </c>
      <c r="B7" s="27">
        <v>37400</v>
      </c>
      <c r="C7" s="28">
        <v>36961</v>
      </c>
      <c r="D7" s="54">
        <v>44006</v>
      </c>
      <c r="E7" s="55">
        <v>50026</v>
      </c>
      <c r="F7" s="17">
        <f t="shared" si="0"/>
        <v>168393</v>
      </c>
      <c r="G7" s="48">
        <f t="shared" si="1"/>
        <v>0.13432925117104239</v>
      </c>
      <c r="H7" s="10">
        <f t="shared" ref="H7:K7" si="14">B7/$F$7*100</f>
        <v>22.209949344687725</v>
      </c>
      <c r="I7" s="10">
        <f t="shared" si="14"/>
        <v>21.949249671898478</v>
      </c>
      <c r="J7" s="10">
        <f t="shared" si="14"/>
        <v>26.132915263698607</v>
      </c>
      <c r="K7" s="10">
        <f t="shared" si="14"/>
        <v>29.707885719715186</v>
      </c>
      <c r="L7" s="18">
        <f t="shared" ref="L7:O7" si="15">B7/$F$51*100</f>
        <v>2.9834458640186856</v>
      </c>
      <c r="M7" s="10">
        <f t="shared" si="15"/>
        <v>2.9484262721923704</v>
      </c>
      <c r="N7" s="10">
        <f t="shared" si="15"/>
        <v>3.510414938288938</v>
      </c>
      <c r="O7" s="10">
        <f t="shared" si="15"/>
        <v>3.9906380426042452</v>
      </c>
      <c r="P7" s="25">
        <f t="shared" si="4"/>
        <v>13.766043513948242</v>
      </c>
      <c r="Q7" s="24">
        <f t="shared" si="5"/>
        <v>15.104741354649404</v>
      </c>
      <c r="R7" s="49">
        <f t="shared" si="6"/>
        <v>12.376532793340084</v>
      </c>
      <c r="S7" s="50">
        <f t="shared" si="7"/>
        <v>13.108061722604633</v>
      </c>
      <c r="T7" s="30"/>
    </row>
    <row r="8" spans="1:33">
      <c r="A8" s="14" t="s">
        <v>20</v>
      </c>
      <c r="B8" s="27">
        <v>12495</v>
      </c>
      <c r="C8" s="28">
        <v>11261</v>
      </c>
      <c r="D8" s="54">
        <v>15125</v>
      </c>
      <c r="E8" s="55">
        <v>15138</v>
      </c>
      <c r="F8" s="17">
        <f t="shared" si="0"/>
        <v>54019</v>
      </c>
      <c r="G8" s="48">
        <f t="shared" si="1"/>
        <v>4.3091647627921226E-2</v>
      </c>
      <c r="H8" s="10">
        <f t="shared" ref="H8:K8" si="16">B8/$F$8*100</f>
        <v>23.130750291564077</v>
      </c>
      <c r="I8" s="10">
        <f t="shared" si="16"/>
        <v>20.846368870212334</v>
      </c>
      <c r="J8" s="10">
        <f t="shared" si="16"/>
        <v>27.999407615838873</v>
      </c>
      <c r="K8" s="10">
        <f t="shared" si="16"/>
        <v>28.023473222384716</v>
      </c>
      <c r="L8" s="18">
        <f t="shared" ref="L8:O8" si="17">B8/$F$51*100</f>
        <v>0.99674214093351554</v>
      </c>
      <c r="M8" s="10">
        <f t="shared" si="17"/>
        <v>0.898304381676856</v>
      </c>
      <c r="N8" s="10">
        <f t="shared" si="17"/>
        <v>1.2065406067722626</v>
      </c>
      <c r="O8" s="10">
        <f t="shared" si="17"/>
        <v>1.2075776334094883</v>
      </c>
      <c r="P8" s="25">
        <f t="shared" si="4"/>
        <v>4.5991099921599803</v>
      </c>
      <c r="Q8" s="24">
        <f t="shared" si="5"/>
        <v>4.6019991990126599</v>
      </c>
      <c r="R8" s="49">
        <f t="shared" si="6"/>
        <v>4.2538530768365401</v>
      </c>
      <c r="S8" s="50">
        <f t="shared" si="7"/>
        <v>3.9665341693677072</v>
      </c>
      <c r="T8" s="30"/>
    </row>
    <row r="9" spans="1:33">
      <c r="A9" s="14" t="s">
        <v>21</v>
      </c>
      <c r="B9" s="27">
        <v>9987</v>
      </c>
      <c r="C9" s="28">
        <v>8667</v>
      </c>
      <c r="D9" s="54">
        <v>14319</v>
      </c>
      <c r="E9" s="55">
        <v>14249</v>
      </c>
      <c r="F9" s="17">
        <f t="shared" si="0"/>
        <v>47222</v>
      </c>
      <c r="G9" s="48">
        <f t="shared" si="1"/>
        <v>3.7669593740826304E-2</v>
      </c>
      <c r="H9" s="10">
        <f t="shared" ref="H9:K9" si="18">B9/$F$9*100</f>
        <v>21.149040701368008</v>
      </c>
      <c r="I9" s="10">
        <f t="shared" si="18"/>
        <v>18.353733429333786</v>
      </c>
      <c r="J9" s="10">
        <f t="shared" si="18"/>
        <v>30.322730930498498</v>
      </c>
      <c r="K9" s="10">
        <f t="shared" si="18"/>
        <v>30.174494938799711</v>
      </c>
      <c r="L9" s="18">
        <f t="shared" ref="L9:O9" si="19">B9/$F$51*100</f>
        <v>0.7966757712287329</v>
      </c>
      <c r="M9" s="10">
        <f t="shared" si="19"/>
        <v>0.69137768191042648</v>
      </c>
      <c r="N9" s="10">
        <f t="shared" si="19"/>
        <v>1.1422449552642664</v>
      </c>
      <c r="O9" s="10">
        <f t="shared" si="19"/>
        <v>1.1366609656792046</v>
      </c>
      <c r="P9" s="25">
        <f t="shared" si="4"/>
        <v>3.6759753094599223</v>
      </c>
      <c r="Q9" s="24">
        <f t="shared" si="5"/>
        <v>3.5419169752102588</v>
      </c>
      <c r="R9" s="49">
        <f t="shared" si="6"/>
        <v>4.0271684103948697</v>
      </c>
      <c r="S9" s="50">
        <f t="shared" si="7"/>
        <v>3.7335939608482271</v>
      </c>
      <c r="T9" s="30"/>
    </row>
    <row r="10" spans="1:33">
      <c r="A10" s="14" t="s">
        <v>22</v>
      </c>
      <c r="B10" s="27">
        <v>22059</v>
      </c>
      <c r="C10" s="28">
        <v>21426</v>
      </c>
      <c r="D10" s="54">
        <v>27364</v>
      </c>
      <c r="E10" s="55">
        <v>27928</v>
      </c>
      <c r="F10" s="17">
        <f t="shared" si="0"/>
        <v>98777</v>
      </c>
      <c r="G10" s="48">
        <f t="shared" si="1"/>
        <v>7.8795677034805806E-2</v>
      </c>
      <c r="H10" s="10">
        <f t="shared" ref="H10:K10" si="20">B10/$F$10*100</f>
        <v>22.332121850228294</v>
      </c>
      <c r="I10" s="10">
        <f t="shared" si="20"/>
        <v>21.691284408313678</v>
      </c>
      <c r="J10" s="10">
        <f t="shared" si="20"/>
        <v>27.702805308928191</v>
      </c>
      <c r="K10" s="10">
        <f t="shared" si="20"/>
        <v>28.273788432529841</v>
      </c>
      <c r="L10" s="18">
        <f t="shared" ref="L10:O10" si="21">B10/$F$51*100</f>
        <v>1.7596746608125182</v>
      </c>
      <c r="M10" s="10">
        <f t="shared" si="21"/>
        <v>1.7091794407076033</v>
      </c>
      <c r="N10" s="10">
        <f t="shared" si="21"/>
        <v>2.1828613000804094</v>
      </c>
      <c r="O10" s="10">
        <f t="shared" si="21"/>
        <v>2.2278523018800493</v>
      </c>
      <c r="P10" s="25">
        <f t="shared" si="4"/>
        <v>8.1193891410209691</v>
      </c>
      <c r="Q10" s="24">
        <f t="shared" si="5"/>
        <v>8.7560993551234585</v>
      </c>
      <c r="R10" s="49">
        <f t="shared" si="6"/>
        <v>7.696028799640005</v>
      </c>
      <c r="S10" s="50">
        <f t="shared" si="7"/>
        <v>7.3178336822632666</v>
      </c>
      <c r="T10" s="30"/>
    </row>
    <row r="11" spans="1:33">
      <c r="A11" s="14" t="s">
        <v>23</v>
      </c>
      <c r="B11" s="27">
        <v>13026</v>
      </c>
      <c r="C11" s="28">
        <v>14680</v>
      </c>
      <c r="D11" s="54">
        <v>16251</v>
      </c>
      <c r="E11" s="55">
        <v>18124</v>
      </c>
      <c r="F11" s="17">
        <f t="shared" si="0"/>
        <v>62081</v>
      </c>
      <c r="G11" s="48">
        <f t="shared" si="1"/>
        <v>4.9522808204316586E-2</v>
      </c>
      <c r="H11" s="10">
        <f t="shared" ref="H11:K11" si="22">B11/$F$11*100</f>
        <v>20.9822651052657</v>
      </c>
      <c r="I11" s="10">
        <f t="shared" si="22"/>
        <v>23.646526312398318</v>
      </c>
      <c r="J11" s="10">
        <f t="shared" si="22"/>
        <v>26.177091219535768</v>
      </c>
      <c r="K11" s="10">
        <f t="shared" si="22"/>
        <v>29.194117362800213</v>
      </c>
      <c r="L11" s="18">
        <f t="shared" ref="L11:O11" si="23">B11/$F$51*100</f>
        <v>1.0391006905001978</v>
      </c>
      <c r="M11" s="10">
        <f t="shared" si="23"/>
        <v>1.1710423872672273</v>
      </c>
      <c r="N11" s="10">
        <f t="shared" si="23"/>
        <v>1.2963630678119695</v>
      </c>
      <c r="O11" s="10">
        <f t="shared" si="23"/>
        <v>1.4457746748522637</v>
      </c>
      <c r="P11" s="25">
        <f t="shared" si="4"/>
        <v>4.7945583639756633</v>
      </c>
      <c r="Q11" s="24">
        <f t="shared" si="5"/>
        <v>5.9992317060213001</v>
      </c>
      <c r="R11" s="49">
        <f t="shared" si="6"/>
        <v>4.5705366182922713</v>
      </c>
      <c r="S11" s="50">
        <f t="shared" si="7"/>
        <v>4.748940764012441</v>
      </c>
      <c r="T11" s="30"/>
    </row>
    <row r="12" spans="1:33">
      <c r="A12" s="14" t="s">
        <v>9</v>
      </c>
      <c r="B12" s="27">
        <v>9309</v>
      </c>
      <c r="C12" s="28">
        <v>10421</v>
      </c>
      <c r="D12" s="54">
        <v>12737</v>
      </c>
      <c r="E12" s="56">
        <v>10306</v>
      </c>
      <c r="F12" s="17">
        <f t="shared" si="0"/>
        <v>42773</v>
      </c>
      <c r="G12" s="48">
        <f t="shared" si="1"/>
        <v>3.4120569503120653E-2</v>
      </c>
      <c r="H12" s="10">
        <f t="shared" ref="H12:K12" si="24">B12/$F$12*100</f>
        <v>21.763729455497625</v>
      </c>
      <c r="I12" s="10">
        <f t="shared" si="24"/>
        <v>24.3635003389989</v>
      </c>
      <c r="J12" s="10">
        <f t="shared" si="24"/>
        <v>29.778131063988965</v>
      </c>
      <c r="K12" s="10">
        <f t="shared" si="24"/>
        <v>24.094639141514506</v>
      </c>
      <c r="L12" s="18">
        <f t="shared" ref="L12:O12" si="25">B12/$F$51*100</f>
        <v>0.74259084353342097</v>
      </c>
      <c r="M12" s="10">
        <f t="shared" si="25"/>
        <v>0.83129650665611565</v>
      </c>
      <c r="N12" s="10">
        <f t="shared" si="25"/>
        <v>1.0160467906418715</v>
      </c>
      <c r="O12" s="10">
        <f t="shared" si="25"/>
        <v>0.82212280948065708</v>
      </c>
      <c r="P12" s="25">
        <f t="shared" si="4"/>
        <v>3.4264197612658873</v>
      </c>
      <c r="Q12" s="24">
        <f t="shared" si="5"/>
        <v>4.258718910657219</v>
      </c>
      <c r="R12" s="49">
        <f t="shared" si="6"/>
        <v>3.5822364720440993</v>
      </c>
      <c r="S12" s="50">
        <f t="shared" si="7"/>
        <v>2.7004294589446158</v>
      </c>
      <c r="T12" s="30"/>
    </row>
    <row r="13" spans="1:33">
      <c r="A13" s="14" t="s">
        <v>4</v>
      </c>
      <c r="B13" s="27">
        <v>7308</v>
      </c>
      <c r="C13" s="28">
        <v>6011</v>
      </c>
      <c r="D13" s="54">
        <v>9704</v>
      </c>
      <c r="E13" s="55">
        <v>9068</v>
      </c>
      <c r="F13" s="17">
        <f t="shared" si="0"/>
        <v>32091</v>
      </c>
      <c r="G13" s="48">
        <f t="shared" si="1"/>
        <v>2.559940139631648E-2</v>
      </c>
      <c r="H13" s="10">
        <f t="shared" ref="H13:K13" si="26">B13/$F$13*100</f>
        <v>22.772740020566516</v>
      </c>
      <c r="I13" s="10">
        <f t="shared" si="26"/>
        <v>18.731108410457761</v>
      </c>
      <c r="J13" s="10">
        <f t="shared" si="26"/>
        <v>30.239007821507585</v>
      </c>
      <c r="K13" s="10">
        <f t="shared" si="26"/>
        <v>28.257143747468138</v>
      </c>
      <c r="L13" s="18">
        <f t="shared" ref="L13:O13" si="27">B13/$F$51*100</f>
        <v>0.5829685126804427</v>
      </c>
      <c r="M13" s="10">
        <f t="shared" si="27"/>
        <v>0.47950516279722782</v>
      </c>
      <c r="N13" s="10">
        <f t="shared" si="27"/>
        <v>0.77410049904912637</v>
      </c>
      <c r="O13" s="10">
        <f t="shared" si="27"/>
        <v>0.7233659651048514</v>
      </c>
      <c r="P13" s="25">
        <f t="shared" si="4"/>
        <v>2.6898996256666776</v>
      </c>
      <c r="Q13" s="24">
        <f t="shared" si="5"/>
        <v>2.4564973967911468</v>
      </c>
      <c r="R13" s="49">
        <f t="shared" si="6"/>
        <v>2.7292158848014401</v>
      </c>
      <c r="S13" s="50">
        <f t="shared" si="7"/>
        <v>2.3760425318949911</v>
      </c>
      <c r="T13" s="30"/>
    </row>
    <row r="14" spans="1:33">
      <c r="A14" s="14" t="s">
        <v>8</v>
      </c>
      <c r="B14" s="27">
        <v>9725</v>
      </c>
      <c r="C14" s="28">
        <v>8027</v>
      </c>
      <c r="D14" s="54">
        <v>13432</v>
      </c>
      <c r="E14" s="55">
        <v>15108</v>
      </c>
      <c r="F14" s="17">
        <f t="shared" si="0"/>
        <v>46292</v>
      </c>
      <c r="G14" s="48">
        <f t="shared" si="1"/>
        <v>3.6927720838810962E-2</v>
      </c>
      <c r="H14" s="10">
        <f t="shared" ref="H14:K14" si="28">B14/$F$14*100</f>
        <v>21.007949537717099</v>
      </c>
      <c r="I14" s="10">
        <f t="shared" si="28"/>
        <v>17.339929145424694</v>
      </c>
      <c r="J14" s="10">
        <f t="shared" si="28"/>
        <v>29.015812667415535</v>
      </c>
      <c r="K14" s="10">
        <f t="shared" si="28"/>
        <v>32.636308649442668</v>
      </c>
      <c r="L14" s="18">
        <f t="shared" ref="L14:O14" si="29">B14/$F$51*100</f>
        <v>0.7757756959246449</v>
      </c>
      <c r="M14" s="10">
        <f t="shared" si="29"/>
        <v>0.64032406284700505</v>
      </c>
      <c r="N14" s="10">
        <f t="shared" si="29"/>
        <v>1.0714878300935557</v>
      </c>
      <c r="O14" s="10">
        <f t="shared" si="29"/>
        <v>1.2051844950158903</v>
      </c>
      <c r="P14" s="25">
        <f t="shared" si="4"/>
        <v>3.5795393896563277</v>
      </c>
      <c r="Q14" s="24">
        <f t="shared" si="5"/>
        <v>3.280370088844208</v>
      </c>
      <c r="R14" s="49">
        <f t="shared" si="6"/>
        <v>3.7777027787152662</v>
      </c>
      <c r="S14" s="50">
        <f t="shared" si="7"/>
        <v>3.9586734199238554</v>
      </c>
      <c r="T14" s="30"/>
    </row>
    <row r="15" spans="1:33">
      <c r="A15" s="14" t="s">
        <v>6</v>
      </c>
      <c r="B15" s="27">
        <v>8299</v>
      </c>
      <c r="C15" s="28">
        <v>8787</v>
      </c>
      <c r="D15" s="54">
        <v>13409</v>
      </c>
      <c r="E15" s="55">
        <v>17415</v>
      </c>
      <c r="F15" s="17">
        <f t="shared" si="0"/>
        <v>47910</v>
      </c>
      <c r="G15" s="48">
        <f t="shared" si="1"/>
        <v>3.8218420145758082E-2</v>
      </c>
      <c r="H15" s="10">
        <f t="shared" ref="H15:K15" si="30">B15/$F$15*100</f>
        <v>17.322062199958253</v>
      </c>
      <c r="I15" s="10">
        <f t="shared" si="30"/>
        <v>18.340638697557921</v>
      </c>
      <c r="J15" s="10">
        <f t="shared" si="30"/>
        <v>27.987893967856397</v>
      </c>
      <c r="K15" s="10">
        <f t="shared" si="30"/>
        <v>36.349405134627425</v>
      </c>
      <c r="L15" s="18">
        <f t="shared" ref="L15:O15" si="31">B15/$F$51*100</f>
        <v>0.66202185094895916</v>
      </c>
      <c r="M15" s="10">
        <f t="shared" si="31"/>
        <v>0.70095023548481794</v>
      </c>
      <c r="N15" s="10">
        <f t="shared" si="31"/>
        <v>1.069653090658464</v>
      </c>
      <c r="O15" s="10">
        <f t="shared" si="31"/>
        <v>1.3892168374835672</v>
      </c>
      <c r="P15" s="25">
        <f t="shared" si="4"/>
        <v>3.0546629711833275</v>
      </c>
      <c r="Q15" s="24">
        <f t="shared" si="5"/>
        <v>3.5909570164038938</v>
      </c>
      <c r="R15" s="49">
        <f t="shared" si="6"/>
        <v>3.7712341095736304</v>
      </c>
      <c r="S15" s="50">
        <f t="shared" si="7"/>
        <v>4.5631650521560729</v>
      </c>
      <c r="T15" s="30"/>
    </row>
    <row r="16" spans="1:33">
      <c r="A16" s="14" t="s">
        <v>24</v>
      </c>
      <c r="B16" s="27">
        <v>27452</v>
      </c>
      <c r="C16" s="28">
        <v>27439</v>
      </c>
      <c r="D16" s="54">
        <v>42380</v>
      </c>
      <c r="E16" s="55">
        <v>41754</v>
      </c>
      <c r="F16" s="17">
        <f t="shared" si="0"/>
        <v>139025</v>
      </c>
      <c r="G16" s="48">
        <f t="shared" si="1"/>
        <v>0.11090202172331491</v>
      </c>
      <c r="H16" s="10">
        <f t="shared" ref="H16:K16" si="32">B16/$F$16*100</f>
        <v>19.746088832943716</v>
      </c>
      <c r="I16" s="10">
        <f t="shared" si="32"/>
        <v>19.736737996763175</v>
      </c>
      <c r="J16" s="10">
        <f t="shared" si="32"/>
        <v>30.483725948570399</v>
      </c>
      <c r="K16" s="10">
        <f t="shared" si="32"/>
        <v>30.033447221722714</v>
      </c>
      <c r="L16" s="18">
        <f t="shared" ref="L16:O16" si="33">B16/$F$51*100</f>
        <v>2.1898811727016296</v>
      </c>
      <c r="M16" s="10">
        <f t="shared" si="33"/>
        <v>2.1888441460644041</v>
      </c>
      <c r="N16" s="10">
        <f t="shared" si="33"/>
        <v>3.380706837355933</v>
      </c>
      <c r="O16" s="10">
        <f t="shared" si="33"/>
        <v>3.3307700162095242</v>
      </c>
      <c r="P16" s="25">
        <f t="shared" si="4"/>
        <v>10.104423169649923</v>
      </c>
      <c r="Q16" s="24">
        <f t="shared" si="5"/>
        <v>11.213414085934499</v>
      </c>
      <c r="R16" s="49">
        <f t="shared" si="6"/>
        <v>11.919226009674878</v>
      </c>
      <c r="S16" s="50">
        <f t="shared" si="7"/>
        <v>10.940591075953181</v>
      </c>
      <c r="T16" s="30"/>
    </row>
    <row r="17" spans="1:33">
      <c r="A17" s="14" t="s">
        <v>25</v>
      </c>
      <c r="B17" s="27">
        <v>1766</v>
      </c>
      <c r="C17" s="28">
        <v>1548</v>
      </c>
      <c r="D17" s="54">
        <v>2958</v>
      </c>
      <c r="E17" s="55">
        <v>2823</v>
      </c>
      <c r="F17" s="17">
        <f t="shared" si="0"/>
        <v>9095</v>
      </c>
      <c r="G17" s="48">
        <f t="shared" si="1"/>
        <v>7.255197896590895E-3</v>
      </c>
      <c r="H17" s="10">
        <f t="shared" ref="H17:K17" si="34">B17/$F$17*100</f>
        <v>19.417262231995601</v>
      </c>
      <c r="I17" s="10">
        <f t="shared" si="34"/>
        <v>17.020340846619021</v>
      </c>
      <c r="J17" s="10">
        <f t="shared" si="34"/>
        <v>32.523364485981311</v>
      </c>
      <c r="K17" s="10">
        <f t="shared" si="34"/>
        <v>31.039032435404067</v>
      </c>
      <c r="L17" s="18">
        <f t="shared" ref="L17:O17" si="35">B17/$F$51*100</f>
        <v>0.14087608010312833</v>
      </c>
      <c r="M17" s="10">
        <f t="shared" si="35"/>
        <v>0.12348594110965042</v>
      </c>
      <c r="N17" s="10">
        <f t="shared" si="35"/>
        <v>0.2359634456087506</v>
      </c>
      <c r="O17" s="10">
        <f t="shared" si="35"/>
        <v>0.22519432283756016</v>
      </c>
      <c r="P17" s="25">
        <f t="shared" si="4"/>
        <v>0.65002226859980194</v>
      </c>
      <c r="Q17" s="24">
        <f t="shared" si="5"/>
        <v>0.63261653139788632</v>
      </c>
      <c r="R17" s="49">
        <f t="shared" si="6"/>
        <v>0.83192710091123856</v>
      </c>
      <c r="S17" s="50">
        <f t="shared" si="7"/>
        <v>0.73969652266647101</v>
      </c>
      <c r="T17" s="30"/>
    </row>
    <row r="18" spans="1:33">
      <c r="A18" s="14" t="s">
        <v>26</v>
      </c>
      <c r="B18" s="27">
        <v>7599</v>
      </c>
      <c r="C18" s="28">
        <v>6168</v>
      </c>
      <c r="D18" s="54">
        <v>11230</v>
      </c>
      <c r="E18" s="55">
        <v>11344</v>
      </c>
      <c r="F18" s="17">
        <f t="shared" si="0"/>
        <v>36341</v>
      </c>
      <c r="G18" s="48">
        <f t="shared" si="1"/>
        <v>2.8989680787246806E-2</v>
      </c>
      <c r="H18" s="10">
        <f t="shared" ref="H18:K18" si="36">B18/$F$18*100</f>
        <v>20.910266640984013</v>
      </c>
      <c r="I18" s="10">
        <f t="shared" si="36"/>
        <v>16.97256542197518</v>
      </c>
      <c r="J18" s="10">
        <f t="shared" si="36"/>
        <v>30.901736330865965</v>
      </c>
      <c r="K18" s="10">
        <f t="shared" si="36"/>
        <v>31.215431606174842</v>
      </c>
      <c r="L18" s="18">
        <f t="shared" ref="L18:O18" si="37">B18/$F$51*100</f>
        <v>0.60618195509834205</v>
      </c>
      <c r="M18" s="10">
        <f t="shared" si="37"/>
        <v>0.49202925372372336</v>
      </c>
      <c r="N18" s="10">
        <f t="shared" si="37"/>
        <v>0.89583147200347157</v>
      </c>
      <c r="O18" s="10">
        <f t="shared" si="37"/>
        <v>0.9049253978991435</v>
      </c>
      <c r="P18" s="25">
        <f t="shared" si="4"/>
        <v>2.7970097503340288</v>
      </c>
      <c r="Q18" s="24">
        <f t="shared" si="5"/>
        <v>2.5206581173528186</v>
      </c>
      <c r="R18" s="49">
        <f t="shared" si="6"/>
        <v>3.1583980200247499</v>
      </c>
      <c r="S18" s="50">
        <f t="shared" si="7"/>
        <v>2.972411389701894</v>
      </c>
      <c r="T18" s="30"/>
    </row>
    <row r="19" spans="1:33">
      <c r="A19" s="14" t="s">
        <v>7</v>
      </c>
      <c r="B19" s="27">
        <v>15736</v>
      </c>
      <c r="C19" s="28">
        <v>9598</v>
      </c>
      <c r="D19" s="54">
        <v>21383</v>
      </c>
      <c r="E19" s="55">
        <v>14965</v>
      </c>
      <c r="F19" s="17">
        <f t="shared" si="0"/>
        <v>61682</v>
      </c>
      <c r="G19" s="48">
        <f t="shared" si="1"/>
        <v>4.9204520797968068E-2</v>
      </c>
      <c r="H19" s="10">
        <f t="shared" ref="H19:K19" si="38">B19/$F$19*100</f>
        <v>25.511494439220517</v>
      </c>
      <c r="I19" s="10">
        <f t="shared" si="38"/>
        <v>15.560455238156997</v>
      </c>
      <c r="J19" s="10">
        <f t="shared" si="38"/>
        <v>34.666515352939271</v>
      </c>
      <c r="K19" s="10">
        <f t="shared" si="38"/>
        <v>24.261534969683211</v>
      </c>
      <c r="L19" s="18">
        <f t="shared" ref="L19:O19" si="39">B19/$F$51*100</f>
        <v>1.2552808587218727</v>
      </c>
      <c r="M19" s="10">
        <f t="shared" si="39"/>
        <v>0.76564474339174715</v>
      </c>
      <c r="N19" s="10">
        <f t="shared" si="39"/>
        <v>1.7057492756767796</v>
      </c>
      <c r="O19" s="10">
        <f t="shared" si="39"/>
        <v>1.1937772020064072</v>
      </c>
      <c r="P19" s="25">
        <f t="shared" si="4"/>
        <v>5.7920444046922333</v>
      </c>
      <c r="Q19" s="24">
        <f t="shared" si="5"/>
        <v>3.9223859614708743</v>
      </c>
      <c r="R19" s="49">
        <f t="shared" si="6"/>
        <v>6.0138935763302959</v>
      </c>
      <c r="S19" s="50">
        <f t="shared" si="7"/>
        <v>3.9212038475748279</v>
      </c>
      <c r="T19" s="30"/>
    </row>
    <row r="20" spans="1:33">
      <c r="A20" s="20" t="s">
        <v>2</v>
      </c>
      <c r="B20" s="57">
        <v>15217</v>
      </c>
      <c r="C20" s="58">
        <v>10983</v>
      </c>
      <c r="D20" s="59">
        <v>20524</v>
      </c>
      <c r="E20" s="60">
        <v>20727</v>
      </c>
      <c r="F20" s="17">
        <f t="shared" si="0"/>
        <v>67451</v>
      </c>
      <c r="G20" s="48">
        <f t="shared" si="1"/>
        <v>5.3806525928856784E-2</v>
      </c>
      <c r="H20" s="10">
        <f t="shared" ref="H20:K20" si="40">B20/$F$20*100</f>
        <v>22.560080651139344</v>
      </c>
      <c r="I20" s="10">
        <f t="shared" si="40"/>
        <v>16.282931313101361</v>
      </c>
      <c r="J20" s="10">
        <f t="shared" si="40"/>
        <v>30.428014410460928</v>
      </c>
      <c r="K20" s="10">
        <f t="shared" si="40"/>
        <v>30.728973625298366</v>
      </c>
      <c r="L20" s="18">
        <f t="shared" ref="L20:O20" si="41">B20/$F$51*100</f>
        <v>1.2138795645126295</v>
      </c>
      <c r="M20" s="10">
        <f t="shared" si="41"/>
        <v>0.87612796589618247</v>
      </c>
      <c r="N20" s="10">
        <f t="shared" si="41"/>
        <v>1.6372257463400937</v>
      </c>
      <c r="O20" s="10">
        <f t="shared" si="41"/>
        <v>1.6534193161367727</v>
      </c>
      <c r="P20" s="25">
        <f t="shared" si="4"/>
        <v>5.6010129452339674</v>
      </c>
      <c r="Q20" s="24">
        <f t="shared" si="5"/>
        <v>4.4883897702474069</v>
      </c>
      <c r="R20" s="49">
        <f t="shared" si="6"/>
        <v>5.7723028462144219</v>
      </c>
      <c r="S20" s="50">
        <f t="shared" si="7"/>
        <v>5.4309917907573304</v>
      </c>
      <c r="T20" s="30"/>
    </row>
    <row r="21" spans="1:33">
      <c r="A21" s="61" t="s">
        <v>0</v>
      </c>
      <c r="B21" s="62">
        <f t="shared" ref="B21:F21" si="42">SUM(B3:B20)</f>
        <v>271683</v>
      </c>
      <c r="C21" s="63">
        <f t="shared" si="42"/>
        <v>244698</v>
      </c>
      <c r="D21" s="63">
        <f t="shared" si="42"/>
        <v>355560</v>
      </c>
      <c r="E21" s="63">
        <f t="shared" si="42"/>
        <v>381643</v>
      </c>
      <c r="F21" s="63">
        <f t="shared" si="42"/>
        <v>1253584</v>
      </c>
      <c r="G21" s="62"/>
      <c r="H21" s="62"/>
      <c r="I21" s="62"/>
      <c r="J21" s="62"/>
      <c r="K21" s="62"/>
      <c r="L21" s="64">
        <f t="shared" ref="L21:O21" si="43">SUM(L3:L20)</f>
        <v>21.672500606261728</v>
      </c>
      <c r="M21" s="65">
        <f t="shared" si="43"/>
        <v>19.519872621220433</v>
      </c>
      <c r="N21" s="65">
        <f t="shared" si="43"/>
        <v>28.363476240922029</v>
      </c>
      <c r="O21" s="65">
        <f t="shared" si="43"/>
        <v>30.444150531595806</v>
      </c>
      <c r="P21" s="62"/>
      <c r="Q21" s="63"/>
      <c r="R21" s="63"/>
      <c r="S21" s="63"/>
      <c r="T21" s="30"/>
    </row>
    <row r="22" spans="1:33" ht="15.75" customHeight="1">
      <c r="B22" s="30"/>
      <c r="G22" s="30"/>
      <c r="H22" s="30"/>
      <c r="L22" s="30"/>
      <c r="P22" s="30"/>
      <c r="T22" s="30"/>
    </row>
    <row r="23" spans="1:33" ht="15.75" customHeight="1">
      <c r="B23" s="30"/>
      <c r="G23" s="30"/>
      <c r="H23" s="30"/>
      <c r="L23" s="30"/>
      <c r="P23" s="30"/>
      <c r="T23" s="30"/>
    </row>
    <row r="24" spans="1:33" ht="15.75" customHeight="1">
      <c r="A24" s="1" t="s">
        <v>5</v>
      </c>
      <c r="B24" s="99" t="s">
        <v>12</v>
      </c>
      <c r="C24" s="100"/>
      <c r="D24" s="100"/>
      <c r="E24" s="100"/>
      <c r="F24" s="100"/>
      <c r="G24" s="2"/>
      <c r="H24" s="99" t="s">
        <v>13</v>
      </c>
      <c r="I24" s="100"/>
      <c r="J24" s="2"/>
      <c r="K24" s="2"/>
      <c r="L24" s="99" t="s">
        <v>14</v>
      </c>
      <c r="M24" s="101"/>
      <c r="N24" s="3"/>
      <c r="O24" s="3"/>
      <c r="P24" s="99" t="s">
        <v>15</v>
      </c>
      <c r="Q24" s="100"/>
      <c r="T24" s="30"/>
    </row>
    <row r="25" spans="1:33" ht="15.75" customHeight="1">
      <c r="A25" s="4"/>
      <c r="B25" s="5" t="s">
        <v>35</v>
      </c>
      <c r="C25" s="6" t="s">
        <v>36</v>
      </c>
      <c r="D25" s="31" t="s">
        <v>37</v>
      </c>
      <c r="E25" s="32" t="s">
        <v>38</v>
      </c>
      <c r="F25" s="7" t="s">
        <v>0</v>
      </c>
      <c r="G25" s="33" t="s">
        <v>34</v>
      </c>
      <c r="H25" s="5" t="s">
        <v>35</v>
      </c>
      <c r="I25" s="6" t="s">
        <v>36</v>
      </c>
      <c r="J25" s="31" t="s">
        <v>37</v>
      </c>
      <c r="K25" s="32" t="s">
        <v>38</v>
      </c>
      <c r="L25" s="5" t="s">
        <v>35</v>
      </c>
      <c r="M25" s="6" t="s">
        <v>36</v>
      </c>
      <c r="N25" s="31" t="s">
        <v>37</v>
      </c>
      <c r="O25" s="32" t="s">
        <v>38</v>
      </c>
      <c r="P25" s="5" t="s">
        <v>35</v>
      </c>
      <c r="Q25" s="6" t="s">
        <v>36</v>
      </c>
      <c r="R25" s="31" t="s">
        <v>37</v>
      </c>
      <c r="S25" s="32" t="s">
        <v>38</v>
      </c>
      <c r="T25" s="30"/>
    </row>
    <row r="26" spans="1:33">
      <c r="A26" s="8" t="s">
        <v>16</v>
      </c>
      <c r="B26" s="34">
        <v>19567</v>
      </c>
      <c r="C26" s="35">
        <v>22775</v>
      </c>
      <c r="D26" s="36">
        <v>27819</v>
      </c>
      <c r="E26" s="37">
        <v>45855</v>
      </c>
      <c r="F26" s="9">
        <f t="shared" ref="F26:F38" si="44">SUM(B26:E26)</f>
        <v>116016</v>
      </c>
      <c r="G26" s="12">
        <f>F26/$F$51*100</f>
        <v>9.2547447957217059</v>
      </c>
      <c r="H26" s="12">
        <f t="shared" ref="H26:K26" si="45">B26/$F$26*100</f>
        <v>16.865777134188388</v>
      </c>
      <c r="I26" s="11">
        <f t="shared" si="45"/>
        <v>19.630912977520342</v>
      </c>
      <c r="J26" s="11">
        <f t="shared" si="45"/>
        <v>23.978589160115845</v>
      </c>
      <c r="K26" s="11">
        <f t="shared" si="45"/>
        <v>39.524720728175424</v>
      </c>
      <c r="L26" s="12">
        <f t="shared" ref="L26:O26" si="46">B26/$F$51*100</f>
        <v>1.5608846315843214</v>
      </c>
      <c r="M26" s="11">
        <f t="shared" si="46"/>
        <v>1.8167908971397209</v>
      </c>
      <c r="N26" s="11">
        <f t="shared" si="46"/>
        <v>2.2191572323833104</v>
      </c>
      <c r="O26" s="11">
        <f t="shared" si="46"/>
        <v>3.6579120346143537</v>
      </c>
      <c r="P26" s="29">
        <f t="shared" ref="P26:P38" si="47">B26/$B$51*100</f>
        <v>7.2021436747974663</v>
      </c>
      <c r="Q26" s="39">
        <f t="shared" ref="Q26:Q38" si="48">C26/$C$51*100</f>
        <v>9.3073911515419017</v>
      </c>
      <c r="R26" s="66">
        <f t="shared" ref="R26:R38" si="49">D26/$D$51*100</f>
        <v>7.8239959500506249</v>
      </c>
      <c r="S26" s="67">
        <f t="shared" ref="S26:S38" si="50">E26/$E$51*100</f>
        <v>12.015155524927748</v>
      </c>
      <c r="T26" s="42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</row>
    <row r="27" spans="1:33">
      <c r="A27" s="14" t="s">
        <v>17</v>
      </c>
      <c r="B27" s="44">
        <v>14486</v>
      </c>
      <c r="C27" s="45">
        <v>11811</v>
      </c>
      <c r="D27" s="46">
        <v>18930</v>
      </c>
      <c r="E27" s="47">
        <v>17628</v>
      </c>
      <c r="F27" s="17">
        <f t="shared" si="44"/>
        <v>62855</v>
      </c>
      <c r="G27" s="18">
        <f t="shared" ref="G27:G38" si="51">F27/$F$21*100</f>
        <v>5.0140237909864833</v>
      </c>
      <c r="H27" s="18">
        <f t="shared" ref="H27:K27" si="52">B27/$F$27*100</f>
        <v>23.046694773685466</v>
      </c>
      <c r="I27" s="10">
        <f t="shared" si="52"/>
        <v>18.790867870495585</v>
      </c>
      <c r="J27" s="10">
        <f t="shared" si="52"/>
        <v>30.116935804629701</v>
      </c>
      <c r="K27" s="10">
        <f t="shared" si="52"/>
        <v>28.045501551189243</v>
      </c>
      <c r="L27" s="18">
        <f t="shared" ref="L27:O27" si="53">B27/$F$51*100</f>
        <v>1.1555667589886278</v>
      </c>
      <c r="M27" s="10">
        <f t="shared" si="53"/>
        <v>0.94217858555948386</v>
      </c>
      <c r="N27" s="10">
        <f t="shared" si="53"/>
        <v>1.5100703263602597</v>
      </c>
      <c r="O27" s="10">
        <f t="shared" si="53"/>
        <v>1.406208120078112</v>
      </c>
      <c r="P27" s="25">
        <f t="shared" si="47"/>
        <v>5.331949367461343</v>
      </c>
      <c r="Q27" s="24">
        <f t="shared" si="48"/>
        <v>4.8267660544834854</v>
      </c>
      <c r="R27" s="68">
        <f t="shared" si="49"/>
        <v>5.323995950050624</v>
      </c>
      <c r="S27" s="69">
        <f t="shared" si="50"/>
        <v>4.6189763732074214</v>
      </c>
      <c r="T27" s="30"/>
    </row>
    <row r="28" spans="1:33">
      <c r="A28" s="14" t="s">
        <v>18</v>
      </c>
      <c r="B28" s="51">
        <v>3159</v>
      </c>
      <c r="C28" s="52">
        <v>2266</v>
      </c>
      <c r="D28" s="53">
        <v>3279</v>
      </c>
      <c r="E28" s="47">
        <v>5104</v>
      </c>
      <c r="F28" s="17">
        <f t="shared" si="44"/>
        <v>13808</v>
      </c>
      <c r="G28" s="18">
        <f t="shared" si="51"/>
        <v>1.1014818312933157</v>
      </c>
      <c r="H28" s="18">
        <f t="shared" ref="H28:K28" si="54">B28/$F$28*100</f>
        <v>22.878041714947855</v>
      </c>
      <c r="I28" s="10">
        <f t="shared" si="54"/>
        <v>16.410776361529546</v>
      </c>
      <c r="J28" s="10">
        <f t="shared" si="54"/>
        <v>23.747103128621088</v>
      </c>
      <c r="K28" s="10">
        <f t="shared" si="54"/>
        <v>36.964078794901503</v>
      </c>
      <c r="L28" s="18">
        <f t="shared" ref="L28:O28" si="55">B28/$F$51*100</f>
        <v>0.25199747284585639</v>
      </c>
      <c r="M28" s="10">
        <f t="shared" si="55"/>
        <v>0.18076171999642623</v>
      </c>
      <c r="N28" s="10">
        <f t="shared" si="55"/>
        <v>0.2615700264202479</v>
      </c>
      <c r="O28" s="10">
        <f t="shared" si="55"/>
        <v>0.4071526120307854</v>
      </c>
      <c r="P28" s="25">
        <f t="shared" si="47"/>
        <v>1.1627521780899062</v>
      </c>
      <c r="Q28" s="24">
        <f t="shared" si="48"/>
        <v>0.92603944453980014</v>
      </c>
      <c r="R28" s="68">
        <f t="shared" si="49"/>
        <v>0.92220722240971986</v>
      </c>
      <c r="S28" s="69">
        <f t="shared" si="50"/>
        <v>1.3373755053806831</v>
      </c>
      <c r="T28" s="30"/>
    </row>
    <row r="29" spans="1:33">
      <c r="A29" s="26" t="s">
        <v>1</v>
      </c>
      <c r="B29" s="27">
        <v>66876</v>
      </c>
      <c r="C29" s="28">
        <v>66455</v>
      </c>
      <c r="D29" s="54">
        <v>85796</v>
      </c>
      <c r="E29" s="55">
        <v>85745</v>
      </c>
      <c r="F29" s="17">
        <f t="shared" si="44"/>
        <v>304872</v>
      </c>
      <c r="G29" s="18">
        <f t="shared" si="51"/>
        <v>24.320029611099056</v>
      </c>
      <c r="H29" s="18">
        <f t="shared" ref="H29:K29" si="56">B29/$F$29*100</f>
        <v>21.935763205541996</v>
      </c>
      <c r="I29" s="10">
        <f t="shared" si="56"/>
        <v>21.797672465821723</v>
      </c>
      <c r="J29" s="10">
        <f t="shared" si="56"/>
        <v>28.141646330263193</v>
      </c>
      <c r="K29" s="10">
        <f t="shared" si="56"/>
        <v>28.124917998373089</v>
      </c>
      <c r="L29" s="18">
        <f t="shared" ref="L29:O29" si="57">B29/$F$51*100</f>
        <v>5.3347841070083852</v>
      </c>
      <c r="M29" s="10">
        <f t="shared" si="57"/>
        <v>5.3012003982182287</v>
      </c>
      <c r="N29" s="10">
        <f t="shared" si="57"/>
        <v>6.8440567205707792</v>
      </c>
      <c r="O29" s="10">
        <f t="shared" si="57"/>
        <v>6.8399883853016625</v>
      </c>
      <c r="P29" s="25">
        <f t="shared" si="47"/>
        <v>24.615452567882421</v>
      </c>
      <c r="Q29" s="24">
        <f t="shared" si="48"/>
        <v>27.157966146024897</v>
      </c>
      <c r="R29" s="68">
        <f t="shared" si="49"/>
        <v>24.129823377207785</v>
      </c>
      <c r="S29" s="69">
        <f t="shared" si="50"/>
        <v>22.467332035436257</v>
      </c>
      <c r="T29" s="30"/>
    </row>
    <row r="30" spans="1:33">
      <c r="A30" s="26" t="s">
        <v>3</v>
      </c>
      <c r="B30" s="27">
        <v>74493</v>
      </c>
      <c r="C30" s="28">
        <v>62830</v>
      </c>
      <c r="D30" s="54">
        <v>84716</v>
      </c>
      <c r="E30" s="55">
        <v>94107</v>
      </c>
      <c r="F30" s="17">
        <f t="shared" si="44"/>
        <v>316146</v>
      </c>
      <c r="G30" s="18">
        <f t="shared" si="51"/>
        <v>25.219371019413138</v>
      </c>
      <c r="H30" s="18">
        <f t="shared" ref="H30:K30" si="58">B30/$F$30*100</f>
        <v>23.562847545121556</v>
      </c>
      <c r="I30" s="10">
        <f t="shared" si="58"/>
        <v>19.873729226370095</v>
      </c>
      <c r="J30" s="10">
        <f t="shared" si="58"/>
        <v>26.796480107292204</v>
      </c>
      <c r="K30" s="10">
        <f t="shared" si="58"/>
        <v>29.766943121216151</v>
      </c>
      <c r="L30" s="18">
        <f t="shared" ref="L30:O30" si="59">B30/$F$51*100</f>
        <v>5.942401945142886</v>
      </c>
      <c r="M30" s="10">
        <f t="shared" si="59"/>
        <v>5.0120295089918185</v>
      </c>
      <c r="N30" s="10">
        <f t="shared" si="59"/>
        <v>6.7579037384012555</v>
      </c>
      <c r="O30" s="10">
        <f t="shared" si="59"/>
        <v>7.5070358268771775</v>
      </c>
      <c r="P30" s="25">
        <f t="shared" si="47"/>
        <v>27.419087686752576</v>
      </c>
      <c r="Q30" s="24">
        <f t="shared" si="48"/>
        <v>25.676548234967182</v>
      </c>
      <c r="R30" s="68">
        <f t="shared" si="49"/>
        <v>23.826077174035323</v>
      </c>
      <c r="S30" s="70">
        <f t="shared" si="50"/>
        <v>24.658384930419267</v>
      </c>
    </row>
    <row r="31" spans="1:33">
      <c r="A31" s="14" t="s">
        <v>4</v>
      </c>
      <c r="B31" s="27">
        <v>7308</v>
      </c>
      <c r="C31" s="28">
        <v>6011</v>
      </c>
      <c r="D31" s="54">
        <v>9704</v>
      </c>
      <c r="E31" s="55">
        <v>9068</v>
      </c>
      <c r="F31" s="17">
        <f t="shared" si="44"/>
        <v>32091</v>
      </c>
      <c r="G31" s="18">
        <f t="shared" si="51"/>
        <v>2.5599401396316481</v>
      </c>
      <c r="H31" s="18">
        <f t="shared" ref="H31:K31" si="60">B31/$F$31*100</f>
        <v>22.772740020566516</v>
      </c>
      <c r="I31" s="10">
        <f t="shared" si="60"/>
        <v>18.731108410457761</v>
      </c>
      <c r="J31" s="10">
        <f t="shared" si="60"/>
        <v>30.239007821507585</v>
      </c>
      <c r="K31" s="10">
        <f t="shared" si="60"/>
        <v>28.257143747468138</v>
      </c>
      <c r="L31" s="18">
        <f t="shared" ref="L31:O31" si="61">B31/$F$51*100</f>
        <v>0.5829685126804427</v>
      </c>
      <c r="M31" s="10">
        <f t="shared" si="61"/>
        <v>0.47950516279722782</v>
      </c>
      <c r="N31" s="10">
        <f t="shared" si="61"/>
        <v>0.77410049904912637</v>
      </c>
      <c r="O31" s="10">
        <f t="shared" si="61"/>
        <v>0.7233659651048514</v>
      </c>
      <c r="P31" s="25">
        <f t="shared" si="47"/>
        <v>2.6898996256666776</v>
      </c>
      <c r="Q31" s="24">
        <f t="shared" si="48"/>
        <v>2.4564973967911468</v>
      </c>
      <c r="R31" s="68">
        <f t="shared" si="49"/>
        <v>2.7292158848014401</v>
      </c>
      <c r="S31" s="70">
        <f t="shared" si="50"/>
        <v>2.3760425318949911</v>
      </c>
    </row>
    <row r="32" spans="1:33">
      <c r="A32" s="14" t="s">
        <v>8</v>
      </c>
      <c r="B32" s="27">
        <v>9725</v>
      </c>
      <c r="C32" s="28">
        <v>8027</v>
      </c>
      <c r="D32" s="54">
        <v>13432</v>
      </c>
      <c r="E32" s="55">
        <v>15108</v>
      </c>
      <c r="F32" s="17">
        <f t="shared" si="44"/>
        <v>46292</v>
      </c>
      <c r="G32" s="18">
        <f t="shared" si="51"/>
        <v>3.6927720838810965</v>
      </c>
      <c r="H32" s="18">
        <f t="shared" ref="H32:K32" si="62">B32/$F$32*100</f>
        <v>21.007949537717099</v>
      </c>
      <c r="I32" s="10">
        <f t="shared" si="62"/>
        <v>17.339929145424694</v>
      </c>
      <c r="J32" s="10">
        <f t="shared" si="62"/>
        <v>29.015812667415535</v>
      </c>
      <c r="K32" s="10">
        <f t="shared" si="62"/>
        <v>32.636308649442668</v>
      </c>
      <c r="L32" s="18">
        <f t="shared" ref="L32:O32" si="63">B32/$F$51*100</f>
        <v>0.7757756959246449</v>
      </c>
      <c r="M32" s="10">
        <f t="shared" si="63"/>
        <v>0.64032406284700505</v>
      </c>
      <c r="N32" s="10">
        <f t="shared" si="63"/>
        <v>1.0714878300935557</v>
      </c>
      <c r="O32" s="10">
        <f t="shared" si="63"/>
        <v>1.2051844950158903</v>
      </c>
      <c r="P32" s="25">
        <f t="shared" si="47"/>
        <v>3.5795393896563277</v>
      </c>
      <c r="Q32" s="24">
        <f t="shared" si="48"/>
        <v>3.280370088844208</v>
      </c>
      <c r="R32" s="68">
        <f t="shared" si="49"/>
        <v>3.7777027787152662</v>
      </c>
      <c r="S32" s="70">
        <f t="shared" si="50"/>
        <v>3.9586734199238554</v>
      </c>
    </row>
    <row r="33" spans="1:33">
      <c r="A33" s="14" t="s">
        <v>6</v>
      </c>
      <c r="B33" s="27">
        <v>8299</v>
      </c>
      <c r="C33" s="28">
        <v>8787</v>
      </c>
      <c r="D33" s="54">
        <v>13409</v>
      </c>
      <c r="E33" s="55">
        <v>17415</v>
      </c>
      <c r="F33" s="17">
        <f t="shared" si="44"/>
        <v>47910</v>
      </c>
      <c r="G33" s="18">
        <f t="shared" si="51"/>
        <v>3.8218420145758083</v>
      </c>
      <c r="H33" s="18">
        <f t="shared" ref="H33:K33" si="64">B33/$F$33*100</f>
        <v>17.322062199958253</v>
      </c>
      <c r="I33" s="10">
        <f t="shared" si="64"/>
        <v>18.340638697557921</v>
      </c>
      <c r="J33" s="10">
        <f t="shared" si="64"/>
        <v>27.987893967856397</v>
      </c>
      <c r="K33" s="10">
        <f t="shared" si="64"/>
        <v>36.349405134627425</v>
      </c>
      <c r="L33" s="18">
        <f t="shared" ref="L33:O33" si="65">B33/$F$51*100</f>
        <v>0.66202185094895916</v>
      </c>
      <c r="M33" s="10">
        <f t="shared" si="65"/>
        <v>0.70095023548481794</v>
      </c>
      <c r="N33" s="10">
        <f t="shared" si="65"/>
        <v>1.069653090658464</v>
      </c>
      <c r="O33" s="10">
        <f t="shared" si="65"/>
        <v>1.3892168374835672</v>
      </c>
      <c r="P33" s="25">
        <f t="shared" si="47"/>
        <v>3.0546629711833275</v>
      </c>
      <c r="Q33" s="24">
        <f t="shared" si="48"/>
        <v>3.5909570164038938</v>
      </c>
      <c r="R33" s="68">
        <f t="shared" si="49"/>
        <v>3.7712341095736304</v>
      </c>
      <c r="S33" s="70">
        <f t="shared" si="50"/>
        <v>4.5631650521560729</v>
      </c>
    </row>
    <row r="34" spans="1:33">
      <c r="A34" s="14" t="s">
        <v>24</v>
      </c>
      <c r="B34" s="27">
        <v>27452</v>
      </c>
      <c r="C34" s="28">
        <v>27439</v>
      </c>
      <c r="D34" s="54">
        <v>42380</v>
      </c>
      <c r="E34" s="55">
        <v>41754</v>
      </c>
      <c r="F34" s="17">
        <f t="shared" si="44"/>
        <v>139025</v>
      </c>
      <c r="G34" s="18">
        <f t="shared" si="51"/>
        <v>11.090202172331491</v>
      </c>
      <c r="H34" s="18">
        <f t="shared" ref="H34:K34" si="66">B34/$F$34*100</f>
        <v>19.746088832943716</v>
      </c>
      <c r="I34" s="10">
        <f t="shared" si="66"/>
        <v>19.736737996763175</v>
      </c>
      <c r="J34" s="10">
        <f t="shared" si="66"/>
        <v>30.483725948570399</v>
      </c>
      <c r="K34" s="10">
        <f t="shared" si="66"/>
        <v>30.033447221722714</v>
      </c>
      <c r="L34" s="18">
        <f t="shared" ref="L34:O34" si="67">B34/$F$51*100</f>
        <v>2.1898811727016296</v>
      </c>
      <c r="M34" s="10">
        <f t="shared" si="67"/>
        <v>2.1888441460644041</v>
      </c>
      <c r="N34" s="10">
        <f t="shared" si="67"/>
        <v>3.380706837355933</v>
      </c>
      <c r="O34" s="10">
        <f t="shared" si="67"/>
        <v>3.3307700162095242</v>
      </c>
      <c r="P34" s="25">
        <f t="shared" si="47"/>
        <v>10.104423169649923</v>
      </c>
      <c r="Q34" s="24">
        <f t="shared" si="48"/>
        <v>11.213414085934499</v>
      </c>
      <c r="R34" s="68">
        <f t="shared" si="49"/>
        <v>11.919226009674878</v>
      </c>
      <c r="S34" s="70">
        <f t="shared" si="50"/>
        <v>10.940591075953181</v>
      </c>
    </row>
    <row r="35" spans="1:33">
      <c r="A35" s="14" t="s">
        <v>25</v>
      </c>
      <c r="B35" s="27">
        <v>1766</v>
      </c>
      <c r="C35" s="28">
        <v>1548</v>
      </c>
      <c r="D35" s="54">
        <v>2958</v>
      </c>
      <c r="E35" s="55">
        <v>2823</v>
      </c>
      <c r="F35" s="17">
        <f t="shared" si="44"/>
        <v>9095</v>
      </c>
      <c r="G35" s="18">
        <f t="shared" si="51"/>
        <v>0.72551978965908948</v>
      </c>
      <c r="H35" s="18">
        <f t="shared" ref="H35:K35" si="68">B35/$F$35*100</f>
        <v>19.417262231995601</v>
      </c>
      <c r="I35" s="10">
        <f t="shared" si="68"/>
        <v>17.020340846619021</v>
      </c>
      <c r="J35" s="10">
        <f t="shared" si="68"/>
        <v>32.523364485981311</v>
      </c>
      <c r="K35" s="10">
        <f t="shared" si="68"/>
        <v>31.039032435404067</v>
      </c>
      <c r="L35" s="18">
        <f t="shared" ref="L35:O35" si="69">B35/$F$51*100</f>
        <v>0.14087608010312833</v>
      </c>
      <c r="M35" s="10">
        <f t="shared" si="69"/>
        <v>0.12348594110965042</v>
      </c>
      <c r="N35" s="10">
        <f t="shared" si="69"/>
        <v>0.2359634456087506</v>
      </c>
      <c r="O35" s="10">
        <f t="shared" si="69"/>
        <v>0.22519432283756016</v>
      </c>
      <c r="P35" s="25">
        <f t="shared" si="47"/>
        <v>0.65002226859980194</v>
      </c>
      <c r="Q35" s="24">
        <f t="shared" si="48"/>
        <v>0.63261653139788632</v>
      </c>
      <c r="R35" s="68">
        <f t="shared" si="49"/>
        <v>0.83192710091123856</v>
      </c>
      <c r="S35" s="69">
        <f t="shared" si="50"/>
        <v>0.73969652266647101</v>
      </c>
      <c r="T35" s="30"/>
    </row>
    <row r="36" spans="1:33">
      <c r="A36" s="14" t="s">
        <v>26</v>
      </c>
      <c r="B36" s="27">
        <v>7599</v>
      </c>
      <c r="C36" s="28">
        <v>6168</v>
      </c>
      <c r="D36" s="54">
        <v>11230</v>
      </c>
      <c r="E36" s="55">
        <v>11344</v>
      </c>
      <c r="F36" s="17">
        <f t="shared" si="44"/>
        <v>36341</v>
      </c>
      <c r="G36" s="18">
        <f t="shared" si="51"/>
        <v>2.8989680787246805</v>
      </c>
      <c r="H36" s="18">
        <f t="shared" ref="H36:K36" si="70">B36/$F$36*100</f>
        <v>20.910266640984013</v>
      </c>
      <c r="I36" s="10">
        <f t="shared" si="70"/>
        <v>16.97256542197518</v>
      </c>
      <c r="J36" s="10">
        <f t="shared" si="70"/>
        <v>30.901736330865965</v>
      </c>
      <c r="K36" s="10">
        <f t="shared" si="70"/>
        <v>31.215431606174842</v>
      </c>
      <c r="L36" s="18">
        <f t="shared" ref="L36:O36" si="71">B36/$F$51*100</f>
        <v>0.60618195509834205</v>
      </c>
      <c r="M36" s="10">
        <f t="shared" si="71"/>
        <v>0.49202925372372336</v>
      </c>
      <c r="N36" s="10">
        <f t="shared" si="71"/>
        <v>0.89583147200347157</v>
      </c>
      <c r="O36" s="10">
        <f t="shared" si="71"/>
        <v>0.9049253978991435</v>
      </c>
      <c r="P36" s="25">
        <f t="shared" si="47"/>
        <v>2.7970097503340288</v>
      </c>
      <c r="Q36" s="24">
        <f t="shared" si="48"/>
        <v>2.5206581173528186</v>
      </c>
      <c r="R36" s="68">
        <f t="shared" si="49"/>
        <v>3.1583980200247499</v>
      </c>
      <c r="S36" s="69">
        <f t="shared" si="50"/>
        <v>2.972411389701894</v>
      </c>
      <c r="T36" s="30"/>
    </row>
    <row r="37" spans="1:33">
      <c r="A37" s="14" t="s">
        <v>7</v>
      </c>
      <c r="B37" s="27">
        <v>15736</v>
      </c>
      <c r="C37" s="28">
        <v>9598</v>
      </c>
      <c r="D37" s="54">
        <v>21383</v>
      </c>
      <c r="E37" s="55">
        <v>14965</v>
      </c>
      <c r="F37" s="17">
        <f t="shared" si="44"/>
        <v>61682</v>
      </c>
      <c r="G37" s="18">
        <f t="shared" si="51"/>
        <v>4.9204520797968065</v>
      </c>
      <c r="H37" s="18">
        <f t="shared" ref="H37:K37" si="72">B37/$F$37*100</f>
        <v>25.511494439220517</v>
      </c>
      <c r="I37" s="10">
        <f t="shared" si="72"/>
        <v>15.560455238156997</v>
      </c>
      <c r="J37" s="10">
        <f t="shared" si="72"/>
        <v>34.666515352939271</v>
      </c>
      <c r="K37" s="10">
        <f t="shared" si="72"/>
        <v>24.261534969683211</v>
      </c>
      <c r="L37" s="18">
        <f t="shared" ref="L37:O37" si="73">B37/$F$51*100</f>
        <v>1.2552808587218727</v>
      </c>
      <c r="M37" s="10">
        <f t="shared" si="73"/>
        <v>0.76564474339174715</v>
      </c>
      <c r="N37" s="10">
        <f t="shared" si="73"/>
        <v>1.7057492756767796</v>
      </c>
      <c r="O37" s="10">
        <f t="shared" si="73"/>
        <v>1.1937772020064072</v>
      </c>
      <c r="P37" s="25">
        <f t="shared" si="47"/>
        <v>5.7920444046922333</v>
      </c>
      <c r="Q37" s="24">
        <f t="shared" si="48"/>
        <v>3.9223859614708743</v>
      </c>
      <c r="R37" s="68">
        <f t="shared" si="49"/>
        <v>6.0138935763302959</v>
      </c>
      <c r="S37" s="69">
        <f t="shared" si="50"/>
        <v>3.9212038475748279</v>
      </c>
      <c r="T37" s="30"/>
    </row>
    <row r="38" spans="1:33">
      <c r="A38" s="20" t="s">
        <v>2</v>
      </c>
      <c r="B38" s="57">
        <v>15217</v>
      </c>
      <c r="C38" s="58">
        <v>10983</v>
      </c>
      <c r="D38" s="59">
        <v>20524</v>
      </c>
      <c r="E38" s="60">
        <v>20727</v>
      </c>
      <c r="F38" s="17">
        <f t="shared" si="44"/>
        <v>67451</v>
      </c>
      <c r="G38" s="71">
        <f t="shared" si="51"/>
        <v>5.3806525928856788</v>
      </c>
      <c r="H38" s="18">
        <f t="shared" ref="H38:K38" si="74">B38/$F$38*100</f>
        <v>22.560080651139344</v>
      </c>
      <c r="I38" s="10">
        <f t="shared" si="74"/>
        <v>16.282931313101361</v>
      </c>
      <c r="J38" s="10">
        <f t="shared" si="74"/>
        <v>30.428014410460928</v>
      </c>
      <c r="K38" s="10">
        <f t="shared" si="74"/>
        <v>30.728973625298366</v>
      </c>
      <c r="L38" s="18">
        <f t="shared" ref="L38:O38" si="75">B38/$F$51*100</f>
        <v>1.2138795645126295</v>
      </c>
      <c r="M38" s="10">
        <f t="shared" si="75"/>
        <v>0.87612796589618247</v>
      </c>
      <c r="N38" s="10">
        <f t="shared" si="75"/>
        <v>1.6372257463400937</v>
      </c>
      <c r="O38" s="10">
        <f t="shared" si="75"/>
        <v>1.6534193161367727</v>
      </c>
      <c r="P38" s="25">
        <f t="shared" si="47"/>
        <v>5.6010129452339674</v>
      </c>
      <c r="Q38" s="24">
        <f t="shared" si="48"/>
        <v>4.4883897702474069</v>
      </c>
      <c r="R38" s="68">
        <f t="shared" si="49"/>
        <v>5.7723028462144219</v>
      </c>
      <c r="S38" s="69">
        <f t="shared" si="50"/>
        <v>5.4309917907573304</v>
      </c>
      <c r="T38" s="72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</row>
    <row r="39" spans="1:33">
      <c r="A39" s="61" t="s">
        <v>0</v>
      </c>
      <c r="B39" s="62">
        <f t="shared" ref="B39:F39" si="76">SUM(B26:B38)</f>
        <v>271683</v>
      </c>
      <c r="C39" s="62">
        <f t="shared" si="76"/>
        <v>244698</v>
      </c>
      <c r="D39" s="62">
        <f t="shared" si="76"/>
        <v>355560</v>
      </c>
      <c r="E39" s="62">
        <f t="shared" si="76"/>
        <v>381643</v>
      </c>
      <c r="F39" s="62">
        <f t="shared" si="76"/>
        <v>1253584</v>
      </c>
      <c r="G39" s="74"/>
      <c r="H39" s="74"/>
      <c r="I39" s="74"/>
      <c r="J39" s="74"/>
      <c r="K39" s="74"/>
      <c r="L39" s="75">
        <f t="shared" ref="L39:O39" si="77">SUM(L26:L38)</f>
        <v>21.672500606261728</v>
      </c>
      <c r="M39" s="75">
        <f t="shared" si="77"/>
        <v>19.519872621220433</v>
      </c>
      <c r="N39" s="75">
        <f t="shared" si="77"/>
        <v>28.363476240922029</v>
      </c>
      <c r="O39" s="75">
        <f t="shared" si="77"/>
        <v>30.444150531595806</v>
      </c>
      <c r="P39" s="74"/>
      <c r="Q39" s="74"/>
      <c r="R39" s="74"/>
      <c r="S39" s="74"/>
      <c r="T39" s="76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</row>
    <row r="40" spans="1:33" ht="15.75" customHeight="1">
      <c r="B40" s="30"/>
      <c r="G40" s="30"/>
      <c r="H40" s="30"/>
      <c r="L40" s="30"/>
      <c r="P40" s="30"/>
      <c r="T40" s="30"/>
    </row>
    <row r="41" spans="1:33" ht="15.75" customHeight="1">
      <c r="B41" s="30"/>
      <c r="G41" s="30"/>
      <c r="H41" s="30"/>
      <c r="L41" s="30"/>
      <c r="P41" s="30"/>
      <c r="T41" s="30"/>
    </row>
    <row r="42" spans="1:33" ht="15.75" customHeight="1">
      <c r="A42" s="78" t="s">
        <v>27</v>
      </c>
      <c r="B42" s="102" t="s">
        <v>12</v>
      </c>
      <c r="C42" s="103"/>
      <c r="D42" s="103"/>
      <c r="E42" s="103"/>
      <c r="F42" s="103"/>
      <c r="G42" s="79"/>
      <c r="H42" s="102" t="s">
        <v>13</v>
      </c>
      <c r="I42" s="103"/>
      <c r="J42" s="79"/>
      <c r="K42" s="79"/>
      <c r="L42" s="102" t="s">
        <v>14</v>
      </c>
      <c r="M42" s="104"/>
      <c r="N42" s="7"/>
      <c r="O42" s="7"/>
      <c r="P42" s="102" t="s">
        <v>15</v>
      </c>
      <c r="Q42" s="103"/>
      <c r="T42" s="30"/>
    </row>
    <row r="43" spans="1:33" ht="15.75" customHeight="1">
      <c r="A43" s="23"/>
      <c r="B43" s="5" t="s">
        <v>35</v>
      </c>
      <c r="C43" s="6" t="s">
        <v>36</v>
      </c>
      <c r="D43" s="31" t="s">
        <v>37</v>
      </c>
      <c r="E43" s="32" t="s">
        <v>38</v>
      </c>
      <c r="F43" s="7" t="s">
        <v>0</v>
      </c>
      <c r="G43" s="33" t="s">
        <v>34</v>
      </c>
      <c r="H43" s="5" t="s">
        <v>35</v>
      </c>
      <c r="I43" s="6" t="s">
        <v>36</v>
      </c>
      <c r="J43" s="31" t="s">
        <v>37</v>
      </c>
      <c r="K43" s="32" t="s">
        <v>38</v>
      </c>
      <c r="L43" s="5" t="s">
        <v>35</v>
      </c>
      <c r="M43" s="6" t="s">
        <v>36</v>
      </c>
      <c r="N43" s="31" t="s">
        <v>37</v>
      </c>
      <c r="O43" s="32" t="s">
        <v>38</v>
      </c>
      <c r="P43" s="5" t="s">
        <v>35</v>
      </c>
      <c r="Q43" s="6" t="s">
        <v>36</v>
      </c>
      <c r="R43" s="31" t="s">
        <v>37</v>
      </c>
      <c r="S43" s="32" t="s">
        <v>38</v>
      </c>
      <c r="T43" s="72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</row>
    <row r="44" spans="1:33">
      <c r="A44" s="8" t="s">
        <v>16</v>
      </c>
      <c r="B44" s="80">
        <v>19567</v>
      </c>
      <c r="C44" s="81">
        <v>22775</v>
      </c>
      <c r="D44" s="82">
        <v>27819</v>
      </c>
      <c r="E44" s="83">
        <v>45855</v>
      </c>
      <c r="F44" s="84">
        <f t="shared" ref="F44:F51" si="78">SUM(B44:E44)</f>
        <v>116016</v>
      </c>
      <c r="G44" s="12">
        <f>F44/$F$51*100</f>
        <v>9.2547447957217059</v>
      </c>
      <c r="H44" s="12">
        <f t="shared" ref="H44:K44" si="79">B44/$F$44*100</f>
        <v>16.865777134188388</v>
      </c>
      <c r="I44" s="11">
        <f t="shared" si="79"/>
        <v>19.630912977520342</v>
      </c>
      <c r="J44" s="11">
        <f t="shared" si="79"/>
        <v>23.978589160115845</v>
      </c>
      <c r="K44" s="13">
        <f t="shared" si="79"/>
        <v>39.524720728175424</v>
      </c>
      <c r="L44" s="12">
        <f t="shared" ref="L44:O44" si="80">B44/$F$51*100</f>
        <v>1.5608846315843214</v>
      </c>
      <c r="M44" s="11">
        <f t="shared" si="80"/>
        <v>1.8167908971397209</v>
      </c>
      <c r="N44" s="11">
        <f t="shared" si="80"/>
        <v>2.2191572323833104</v>
      </c>
      <c r="O44" s="13">
        <f t="shared" si="80"/>
        <v>3.6579120346143537</v>
      </c>
      <c r="P44" s="29">
        <f t="shared" ref="P44:P50" si="81">B44/$B$51*100</f>
        <v>7.2021436747974663</v>
      </c>
      <c r="Q44" s="39">
        <f t="shared" ref="Q44:Q50" si="82">C44/$C$51*100</f>
        <v>9.3073911515419017</v>
      </c>
      <c r="R44" s="66">
        <f t="shared" ref="R44:R50" si="83">D44/$D$51*100</f>
        <v>7.8239959500506249</v>
      </c>
      <c r="S44" s="85">
        <f t="shared" ref="S44:S50" si="84">E44/$E$51*100</f>
        <v>12.015155524927748</v>
      </c>
      <c r="T44" s="42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</row>
    <row r="45" spans="1:33">
      <c r="A45" s="26" t="s">
        <v>28</v>
      </c>
      <c r="B45" s="27">
        <v>62112</v>
      </c>
      <c r="C45" s="28">
        <v>46119</v>
      </c>
      <c r="D45" s="54">
        <v>84729</v>
      </c>
      <c r="E45" s="55">
        <v>76555</v>
      </c>
      <c r="F45" s="86">
        <f t="shared" si="78"/>
        <v>269515</v>
      </c>
      <c r="G45" s="18">
        <f t="shared" ref="G45:G50" si="85">F45/$F$21*100</f>
        <v>21.499556471684386</v>
      </c>
      <c r="H45" s="18">
        <f t="shared" ref="H45:K45" si="86">B45/$F$45*100</f>
        <v>23.045841604363392</v>
      </c>
      <c r="I45" s="10">
        <f t="shared" si="86"/>
        <v>17.111849062204328</v>
      </c>
      <c r="J45" s="10">
        <f t="shared" si="86"/>
        <v>31.43758232380387</v>
      </c>
      <c r="K45" s="19">
        <f t="shared" si="86"/>
        <v>28.404727009628406</v>
      </c>
      <c r="L45" s="18">
        <f t="shared" ref="L45:O45" si="87">B45/$F$51*100</f>
        <v>4.9547537301050433</v>
      </c>
      <c r="M45" s="10">
        <f t="shared" si="87"/>
        <v>3.6789716524780149</v>
      </c>
      <c r="N45" s="10">
        <f t="shared" si="87"/>
        <v>6.7589407650384823</v>
      </c>
      <c r="O45" s="19">
        <f t="shared" si="87"/>
        <v>6.1068903240628467</v>
      </c>
      <c r="P45" s="25">
        <f t="shared" si="81"/>
        <v>22.861938361988052</v>
      </c>
      <c r="Q45" s="24">
        <f t="shared" si="82"/>
        <v>18.847313831743616</v>
      </c>
      <c r="R45" s="68">
        <f t="shared" si="83"/>
        <v>23.829733378332772</v>
      </c>
      <c r="S45" s="70">
        <f t="shared" si="84"/>
        <v>20.059322455802935</v>
      </c>
      <c r="T45" s="30"/>
    </row>
    <row r="46" spans="1:33">
      <c r="A46" s="14" t="s">
        <v>18</v>
      </c>
      <c r="B46" s="15">
        <v>3159</v>
      </c>
      <c r="C46" s="16">
        <v>2266</v>
      </c>
      <c r="D46" s="87">
        <v>3279</v>
      </c>
      <c r="E46" s="55">
        <v>5104</v>
      </c>
      <c r="F46" s="86">
        <f t="shared" si="78"/>
        <v>13808</v>
      </c>
      <c r="G46" s="18">
        <f t="shared" si="85"/>
        <v>1.1014818312933157</v>
      </c>
      <c r="H46" s="18">
        <f t="shared" ref="H46:K46" si="88">B46/$F$46*100</f>
        <v>22.878041714947855</v>
      </c>
      <c r="I46" s="10">
        <f t="shared" si="88"/>
        <v>16.410776361529546</v>
      </c>
      <c r="J46" s="10">
        <f t="shared" si="88"/>
        <v>23.747103128621088</v>
      </c>
      <c r="K46" s="19">
        <f t="shared" si="88"/>
        <v>36.964078794901503</v>
      </c>
      <c r="L46" s="18">
        <f t="shared" ref="L46:O46" si="89">B46/$F$51*100</f>
        <v>0.25199747284585639</v>
      </c>
      <c r="M46" s="10">
        <f t="shared" si="89"/>
        <v>0.18076171999642623</v>
      </c>
      <c r="N46" s="10">
        <f t="shared" si="89"/>
        <v>0.2615700264202479</v>
      </c>
      <c r="O46" s="19">
        <f t="shared" si="89"/>
        <v>0.4071526120307854</v>
      </c>
      <c r="P46" s="25">
        <f t="shared" si="81"/>
        <v>1.1627521780899062</v>
      </c>
      <c r="Q46" s="24">
        <f t="shared" si="82"/>
        <v>0.92603944453980014</v>
      </c>
      <c r="R46" s="68">
        <f t="shared" si="83"/>
        <v>0.92220722240971986</v>
      </c>
      <c r="S46" s="70">
        <f t="shared" si="84"/>
        <v>1.3373755053806831</v>
      </c>
      <c r="T46" s="30"/>
    </row>
    <row r="47" spans="1:33">
      <c r="A47" s="26" t="s">
        <v>29</v>
      </c>
      <c r="B47" s="27">
        <v>141369</v>
      </c>
      <c r="C47" s="28">
        <v>129285</v>
      </c>
      <c r="D47" s="54">
        <v>170512</v>
      </c>
      <c r="E47" s="55">
        <v>179852</v>
      </c>
      <c r="F47" s="86">
        <f t="shared" si="78"/>
        <v>621018</v>
      </c>
      <c r="G47" s="18">
        <f t="shared" si="85"/>
        <v>49.539400630512198</v>
      </c>
      <c r="H47" s="18">
        <f t="shared" ref="H47:K47" si="90">B47/$F$47*100</f>
        <v>22.764074471271364</v>
      </c>
      <c r="I47" s="10">
        <f t="shared" si="90"/>
        <v>20.818237152546303</v>
      </c>
      <c r="J47" s="10">
        <f t="shared" si="90"/>
        <v>27.456853102486562</v>
      </c>
      <c r="K47" s="19">
        <f t="shared" si="90"/>
        <v>28.960835273695771</v>
      </c>
      <c r="L47" s="18">
        <f t="shared" ref="L47:O47" si="91">B47/$F$51*100</f>
        <v>11.277186052151272</v>
      </c>
      <c r="M47" s="10">
        <f t="shared" si="91"/>
        <v>10.313229907210047</v>
      </c>
      <c r="N47" s="10">
        <f t="shared" si="91"/>
        <v>13.601960458972034</v>
      </c>
      <c r="O47" s="19">
        <f t="shared" si="91"/>
        <v>14.347024212178841</v>
      </c>
      <c r="P47" s="25">
        <f t="shared" si="81"/>
        <v>52.034540254634997</v>
      </c>
      <c r="Q47" s="24">
        <f t="shared" si="82"/>
        <v>52.834514380992083</v>
      </c>
      <c r="R47" s="68">
        <f t="shared" si="83"/>
        <v>47.955900551243111</v>
      </c>
      <c r="S47" s="70">
        <f t="shared" si="84"/>
        <v>47.125716965855524</v>
      </c>
      <c r="T47" s="30"/>
    </row>
    <row r="48" spans="1:33">
      <c r="A48" s="14" t="s">
        <v>8</v>
      </c>
      <c r="B48" s="27">
        <v>9725</v>
      </c>
      <c r="C48" s="28">
        <v>8027</v>
      </c>
      <c r="D48" s="54">
        <v>13432</v>
      </c>
      <c r="E48" s="55">
        <v>15108</v>
      </c>
      <c r="F48" s="86">
        <f t="shared" si="78"/>
        <v>46292</v>
      </c>
      <c r="G48" s="18">
        <f t="shared" si="85"/>
        <v>3.6927720838810965</v>
      </c>
      <c r="H48" s="18">
        <f t="shared" ref="H48:K48" si="92">B48/$F$48*100</f>
        <v>21.007949537717099</v>
      </c>
      <c r="I48" s="10">
        <f t="shared" si="92"/>
        <v>17.339929145424694</v>
      </c>
      <c r="J48" s="10">
        <f t="shared" si="92"/>
        <v>29.015812667415535</v>
      </c>
      <c r="K48" s="19">
        <f t="shared" si="92"/>
        <v>32.636308649442668</v>
      </c>
      <c r="L48" s="18">
        <f t="shared" ref="L48:O48" si="93">B48/$F$51*100</f>
        <v>0.7757756959246449</v>
      </c>
      <c r="M48" s="10">
        <f t="shared" si="93"/>
        <v>0.64032406284700505</v>
      </c>
      <c r="N48" s="10">
        <f t="shared" si="93"/>
        <v>1.0714878300935557</v>
      </c>
      <c r="O48" s="19">
        <f t="shared" si="93"/>
        <v>1.2051844950158903</v>
      </c>
      <c r="P48" s="25">
        <f t="shared" si="81"/>
        <v>3.5795393896563277</v>
      </c>
      <c r="Q48" s="24">
        <f t="shared" si="82"/>
        <v>3.280370088844208</v>
      </c>
      <c r="R48" s="68">
        <f t="shared" si="83"/>
        <v>3.7777027787152662</v>
      </c>
      <c r="S48" s="70">
        <f t="shared" si="84"/>
        <v>3.9586734199238554</v>
      </c>
      <c r="T48" s="30"/>
    </row>
    <row r="49" spans="1:33">
      <c r="A49" s="14" t="s">
        <v>6</v>
      </c>
      <c r="B49" s="27">
        <v>8299</v>
      </c>
      <c r="C49" s="28">
        <v>8787</v>
      </c>
      <c r="D49" s="54">
        <v>13409</v>
      </c>
      <c r="E49" s="55">
        <v>17415</v>
      </c>
      <c r="F49" s="86">
        <f t="shared" si="78"/>
        <v>47910</v>
      </c>
      <c r="G49" s="18">
        <f t="shared" si="85"/>
        <v>3.8218420145758083</v>
      </c>
      <c r="H49" s="18">
        <f t="shared" ref="H49:K49" si="94">B49/$F$49*100</f>
        <v>17.322062199958253</v>
      </c>
      <c r="I49" s="10">
        <f t="shared" si="94"/>
        <v>18.340638697557921</v>
      </c>
      <c r="J49" s="10">
        <f t="shared" si="94"/>
        <v>27.987893967856397</v>
      </c>
      <c r="K49" s="19">
        <f t="shared" si="94"/>
        <v>36.349405134627425</v>
      </c>
      <c r="L49" s="18">
        <f t="shared" ref="L49:O49" si="95">B49/$F$51*100</f>
        <v>0.66202185094895916</v>
      </c>
      <c r="M49" s="10">
        <f t="shared" si="95"/>
        <v>0.70095023548481794</v>
      </c>
      <c r="N49" s="10">
        <f t="shared" si="95"/>
        <v>1.069653090658464</v>
      </c>
      <c r="O49" s="19">
        <f t="shared" si="95"/>
        <v>1.3892168374835672</v>
      </c>
      <c r="P49" s="25">
        <f t="shared" si="81"/>
        <v>3.0546629711833275</v>
      </c>
      <c r="Q49" s="24">
        <f t="shared" si="82"/>
        <v>3.5909570164038938</v>
      </c>
      <c r="R49" s="68">
        <f t="shared" si="83"/>
        <v>3.7712341095736304</v>
      </c>
      <c r="S49" s="70">
        <f t="shared" si="84"/>
        <v>4.5631650521560729</v>
      </c>
      <c r="T49" s="30"/>
    </row>
    <row r="50" spans="1:33">
      <c r="A50" s="20" t="s">
        <v>24</v>
      </c>
      <c r="B50" s="57">
        <v>27452</v>
      </c>
      <c r="C50" s="58">
        <v>27439</v>
      </c>
      <c r="D50" s="59">
        <v>42380</v>
      </c>
      <c r="E50" s="60">
        <v>41754</v>
      </c>
      <c r="F50" s="88">
        <f t="shared" si="78"/>
        <v>139025</v>
      </c>
      <c r="G50" s="71">
        <f t="shared" si="85"/>
        <v>11.090202172331491</v>
      </c>
      <c r="H50" s="71">
        <f t="shared" ref="H50:K50" si="96">B50/$F$50*100</f>
        <v>19.746088832943716</v>
      </c>
      <c r="I50" s="21">
        <f t="shared" si="96"/>
        <v>19.736737996763175</v>
      </c>
      <c r="J50" s="21">
        <f t="shared" si="96"/>
        <v>30.483725948570399</v>
      </c>
      <c r="K50" s="22">
        <f t="shared" si="96"/>
        <v>30.033447221722714</v>
      </c>
      <c r="L50" s="71">
        <f t="shared" ref="L50:O50" si="97">B50/$F$51*100</f>
        <v>2.1898811727016296</v>
      </c>
      <c r="M50" s="21">
        <f t="shared" si="97"/>
        <v>2.1888441460644041</v>
      </c>
      <c r="N50" s="21">
        <f t="shared" si="97"/>
        <v>3.380706837355933</v>
      </c>
      <c r="O50" s="22">
        <f t="shared" si="97"/>
        <v>3.3307700162095242</v>
      </c>
      <c r="P50" s="89">
        <f t="shared" si="81"/>
        <v>10.104423169649923</v>
      </c>
      <c r="Q50" s="90">
        <f t="shared" si="82"/>
        <v>11.213414085934499</v>
      </c>
      <c r="R50" s="91">
        <f t="shared" si="83"/>
        <v>11.919226009674878</v>
      </c>
      <c r="S50" s="92">
        <f t="shared" si="84"/>
        <v>10.940591075953181</v>
      </c>
      <c r="T50" s="72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</row>
    <row r="51" spans="1:33">
      <c r="A51" s="61" t="s">
        <v>0</v>
      </c>
      <c r="B51" s="62">
        <f t="shared" ref="B51:E51" si="98">SUM(B44:B50)</f>
        <v>271683</v>
      </c>
      <c r="C51" s="63">
        <f t="shared" si="98"/>
        <v>244698</v>
      </c>
      <c r="D51" s="63">
        <f t="shared" si="98"/>
        <v>355560</v>
      </c>
      <c r="E51" s="63">
        <f t="shared" si="98"/>
        <v>381643</v>
      </c>
      <c r="F51" s="93">
        <f t="shared" si="78"/>
        <v>1253584</v>
      </c>
      <c r="G51" s="74"/>
      <c r="H51" s="74"/>
      <c r="I51" s="74"/>
      <c r="J51" s="74"/>
      <c r="K51" s="74"/>
      <c r="L51" s="75">
        <f t="shared" ref="L51:O51" si="99">SUM(L44:L50)</f>
        <v>21.672500606261725</v>
      </c>
      <c r="M51" s="94">
        <f t="shared" si="99"/>
        <v>19.519872621220436</v>
      </c>
      <c r="N51" s="95">
        <f t="shared" si="99"/>
        <v>28.363476240922026</v>
      </c>
      <c r="O51" s="96">
        <f t="shared" si="99"/>
        <v>30.444150531595806</v>
      </c>
      <c r="P51" s="74"/>
      <c r="Q51" s="97"/>
      <c r="R51" s="97"/>
      <c r="S51" s="98"/>
      <c r="T51" s="30"/>
    </row>
    <row r="52" spans="1:33">
      <c r="B52" s="30"/>
      <c r="F52" s="17"/>
      <c r="G52" s="30"/>
      <c r="H52" s="30"/>
      <c r="L52" s="30"/>
      <c r="N52" s="17"/>
      <c r="O52" s="17"/>
      <c r="P52" s="30"/>
      <c r="R52" s="17"/>
      <c r="S52" s="17"/>
      <c r="T52" s="30"/>
    </row>
    <row r="53" spans="1:33">
      <c r="B53" s="30"/>
      <c r="F53" s="17"/>
      <c r="G53" s="30"/>
      <c r="H53" s="30"/>
      <c r="L53" s="30"/>
      <c r="N53" s="17"/>
      <c r="O53" s="17"/>
      <c r="P53" s="30"/>
      <c r="R53" s="17"/>
      <c r="S53" s="17"/>
      <c r="T53" s="30"/>
    </row>
    <row r="54" spans="1:33">
      <c r="B54" s="30"/>
      <c r="F54" s="17"/>
      <c r="G54" s="30"/>
      <c r="H54" s="30"/>
      <c r="L54" s="30"/>
      <c r="N54" s="17"/>
      <c r="O54" s="17"/>
      <c r="P54" s="30"/>
      <c r="R54" s="17"/>
      <c r="S54" s="17"/>
      <c r="T54" s="30"/>
    </row>
    <row r="55" spans="1:33">
      <c r="B55" s="30"/>
      <c r="F55" s="17"/>
      <c r="G55" s="30"/>
      <c r="H55" s="30"/>
      <c r="L55" s="30"/>
      <c r="N55" s="17"/>
      <c r="O55" s="17"/>
      <c r="P55" s="30"/>
      <c r="R55" s="17"/>
      <c r="S55" s="17"/>
      <c r="T55" s="30"/>
    </row>
    <row r="56" spans="1:33">
      <c r="B56" s="30"/>
      <c r="F56" s="17"/>
      <c r="G56" s="30"/>
      <c r="H56" s="30"/>
      <c r="L56" s="30"/>
      <c r="N56" s="17"/>
      <c r="O56" s="17"/>
      <c r="P56" s="30"/>
      <c r="R56" s="17"/>
      <c r="S56" s="17"/>
      <c r="T56" s="30"/>
    </row>
    <row r="57" spans="1:33">
      <c r="B57" s="30"/>
      <c r="F57" s="17"/>
      <c r="G57" s="30"/>
      <c r="H57" s="30"/>
      <c r="L57" s="30"/>
      <c r="N57" s="17"/>
      <c r="O57" s="17"/>
      <c r="P57" s="30"/>
      <c r="R57" s="17"/>
      <c r="S57" s="17"/>
      <c r="T57" s="30"/>
    </row>
    <row r="58" spans="1:33" ht="15.75" customHeight="1">
      <c r="B58" s="30"/>
      <c r="G58" s="30"/>
      <c r="H58" s="30"/>
      <c r="L58" s="30"/>
      <c r="P58" s="30"/>
      <c r="T58" s="30"/>
    </row>
    <row r="59" spans="1:33" ht="15.75" customHeight="1">
      <c r="B59" s="30"/>
      <c r="G59" s="30"/>
      <c r="H59" s="30"/>
      <c r="L59" s="30"/>
      <c r="P59" s="30"/>
      <c r="T59" s="30"/>
    </row>
    <row r="60" spans="1:33" ht="15.75" customHeight="1">
      <c r="B60" s="30"/>
      <c r="G60" s="30"/>
      <c r="H60" s="30"/>
      <c r="L60" s="30"/>
      <c r="P60" s="30"/>
      <c r="T60" s="30"/>
    </row>
    <row r="61" spans="1:33" ht="15.75" customHeight="1">
      <c r="B61" s="30"/>
      <c r="G61" s="30"/>
      <c r="H61" s="30"/>
      <c r="L61" s="30"/>
      <c r="P61" s="30"/>
      <c r="T61" s="30"/>
    </row>
    <row r="62" spans="1:33" ht="15.75" customHeight="1">
      <c r="B62" s="30"/>
      <c r="G62" s="30"/>
      <c r="H62" s="30"/>
      <c r="L62" s="30"/>
      <c r="P62" s="30"/>
      <c r="T62" s="30"/>
    </row>
    <row r="63" spans="1:33" ht="15.75" customHeight="1">
      <c r="B63" s="30"/>
      <c r="G63" s="30"/>
      <c r="H63" s="30"/>
      <c r="L63" s="30"/>
      <c r="P63" s="30"/>
      <c r="T63" s="30"/>
    </row>
    <row r="64" spans="1:33" ht="15.75" customHeight="1">
      <c r="B64" s="30"/>
      <c r="G64" s="30"/>
      <c r="H64" s="30"/>
      <c r="L64" s="30"/>
      <c r="P64" s="30"/>
      <c r="T64" s="30"/>
    </row>
    <row r="65" spans="2:20" ht="15.75" customHeight="1">
      <c r="B65" s="30"/>
      <c r="G65" s="30"/>
      <c r="H65" s="30"/>
      <c r="L65" s="30"/>
      <c r="P65" s="30"/>
      <c r="T65" s="30"/>
    </row>
    <row r="66" spans="2:20" ht="15.75" customHeight="1">
      <c r="B66" s="30"/>
      <c r="G66" s="30"/>
      <c r="H66" s="30"/>
      <c r="L66" s="30"/>
      <c r="P66" s="30"/>
      <c r="T66" s="30"/>
    </row>
    <row r="67" spans="2:20" ht="15.75" customHeight="1">
      <c r="B67" s="30"/>
      <c r="G67" s="30"/>
      <c r="H67" s="30"/>
      <c r="L67" s="30"/>
      <c r="P67" s="30"/>
      <c r="T67" s="30"/>
    </row>
    <row r="68" spans="2:20" ht="13">
      <c r="B68" s="30"/>
      <c r="G68" s="30"/>
      <c r="H68" s="30"/>
      <c r="L68" s="30"/>
      <c r="P68" s="30"/>
      <c r="T68" s="30"/>
    </row>
    <row r="69" spans="2:20" ht="13">
      <c r="B69" s="30"/>
      <c r="G69" s="30"/>
      <c r="H69" s="30"/>
      <c r="L69" s="30"/>
      <c r="P69" s="30"/>
      <c r="T69" s="30"/>
    </row>
    <row r="70" spans="2:20" ht="13">
      <c r="B70" s="30"/>
      <c r="G70" s="30"/>
      <c r="H70" s="30"/>
      <c r="L70" s="30"/>
      <c r="P70" s="30"/>
      <c r="T70" s="30"/>
    </row>
    <row r="71" spans="2:20" ht="13">
      <c r="B71" s="30"/>
      <c r="G71" s="30"/>
      <c r="H71" s="30"/>
      <c r="L71" s="30"/>
      <c r="P71" s="30"/>
      <c r="T71" s="30"/>
    </row>
    <row r="72" spans="2:20" ht="13">
      <c r="B72" s="30"/>
      <c r="G72" s="30"/>
      <c r="H72" s="30"/>
      <c r="L72" s="30"/>
      <c r="P72" s="30"/>
      <c r="T72" s="30"/>
    </row>
    <row r="73" spans="2:20" ht="13">
      <c r="B73" s="30"/>
      <c r="G73" s="30"/>
      <c r="H73" s="30"/>
      <c r="L73" s="30"/>
      <c r="P73" s="30"/>
      <c r="T73" s="30"/>
    </row>
    <row r="74" spans="2:20" ht="13">
      <c r="B74" s="30"/>
      <c r="G74" s="30"/>
      <c r="H74" s="30"/>
      <c r="L74" s="30"/>
      <c r="P74" s="30"/>
      <c r="T74" s="30"/>
    </row>
    <row r="75" spans="2:20" ht="13">
      <c r="B75" s="30"/>
      <c r="G75" s="30"/>
      <c r="H75" s="30"/>
      <c r="L75" s="30"/>
      <c r="P75" s="30"/>
      <c r="T75" s="30"/>
    </row>
    <row r="76" spans="2:20" ht="13">
      <c r="B76" s="30"/>
      <c r="G76" s="30"/>
      <c r="H76" s="30"/>
      <c r="L76" s="30"/>
      <c r="P76" s="30"/>
      <c r="T76" s="30"/>
    </row>
    <row r="77" spans="2:20" ht="13">
      <c r="B77" s="30"/>
      <c r="G77" s="30"/>
      <c r="H77" s="30"/>
      <c r="L77" s="30"/>
      <c r="P77" s="30"/>
      <c r="T77" s="30"/>
    </row>
    <row r="78" spans="2:20" ht="13">
      <c r="B78" s="30"/>
      <c r="G78" s="30"/>
      <c r="H78" s="30"/>
      <c r="L78" s="30"/>
      <c r="P78" s="30"/>
      <c r="T78" s="30"/>
    </row>
    <row r="79" spans="2:20" ht="13">
      <c r="B79" s="30"/>
      <c r="G79" s="30"/>
      <c r="H79" s="30"/>
      <c r="L79" s="30"/>
      <c r="P79" s="30"/>
      <c r="T79" s="30"/>
    </row>
    <row r="80" spans="2:20" ht="13">
      <c r="B80" s="30"/>
      <c r="G80" s="30"/>
      <c r="H80" s="30"/>
      <c r="L80" s="30"/>
      <c r="P80" s="30"/>
      <c r="T80" s="30"/>
    </row>
    <row r="81" spans="2:20" ht="13">
      <c r="B81" s="30"/>
      <c r="G81" s="30"/>
      <c r="H81" s="30"/>
      <c r="L81" s="30"/>
      <c r="P81" s="30"/>
      <c r="T81" s="30"/>
    </row>
    <row r="82" spans="2:20" ht="13">
      <c r="B82" s="30"/>
      <c r="G82" s="30"/>
      <c r="H82" s="30"/>
      <c r="L82" s="30"/>
      <c r="P82" s="30"/>
      <c r="T82" s="30"/>
    </row>
    <row r="83" spans="2:20" ht="13">
      <c r="B83" s="30"/>
      <c r="G83" s="30"/>
      <c r="H83" s="30"/>
      <c r="L83" s="30"/>
      <c r="P83" s="30"/>
      <c r="T83" s="30"/>
    </row>
    <row r="84" spans="2:20" ht="13">
      <c r="B84" s="30"/>
      <c r="G84" s="30"/>
      <c r="H84" s="30"/>
      <c r="L84" s="30"/>
      <c r="P84" s="30"/>
      <c r="T84" s="30"/>
    </row>
    <row r="85" spans="2:20" ht="13">
      <c r="B85" s="30"/>
      <c r="G85" s="30"/>
      <c r="H85" s="30"/>
      <c r="L85" s="30"/>
      <c r="P85" s="30"/>
      <c r="T85" s="30"/>
    </row>
    <row r="86" spans="2:20" ht="13">
      <c r="B86" s="30"/>
      <c r="G86" s="30"/>
      <c r="H86" s="30"/>
      <c r="L86" s="30"/>
      <c r="P86" s="30"/>
      <c r="T86" s="30"/>
    </row>
    <row r="87" spans="2:20" ht="13">
      <c r="B87" s="30"/>
      <c r="G87" s="30"/>
      <c r="H87" s="30"/>
      <c r="L87" s="30"/>
      <c r="P87" s="30"/>
      <c r="T87" s="30"/>
    </row>
    <row r="88" spans="2:20" ht="13">
      <c r="B88" s="30"/>
      <c r="G88" s="30"/>
      <c r="H88" s="30"/>
      <c r="L88" s="30"/>
      <c r="P88" s="30"/>
      <c r="T88" s="30"/>
    </row>
    <row r="89" spans="2:20" ht="13">
      <c r="B89" s="30"/>
      <c r="G89" s="30"/>
      <c r="H89" s="30"/>
      <c r="L89" s="30"/>
      <c r="P89" s="30"/>
      <c r="T89" s="30"/>
    </row>
    <row r="90" spans="2:20" ht="13">
      <c r="B90" s="30"/>
      <c r="G90" s="30"/>
      <c r="H90" s="30"/>
      <c r="L90" s="30"/>
      <c r="P90" s="30"/>
      <c r="T90" s="30"/>
    </row>
    <row r="91" spans="2:20" ht="13">
      <c r="B91" s="30"/>
      <c r="G91" s="30"/>
      <c r="H91" s="30"/>
      <c r="L91" s="30"/>
      <c r="P91" s="30"/>
      <c r="T91" s="30"/>
    </row>
    <row r="92" spans="2:20" ht="13">
      <c r="B92" s="30"/>
      <c r="G92" s="30"/>
      <c r="H92" s="30"/>
      <c r="L92" s="30"/>
      <c r="P92" s="30"/>
      <c r="T92" s="30"/>
    </row>
    <row r="93" spans="2:20" ht="13">
      <c r="B93" s="30"/>
      <c r="G93" s="30"/>
      <c r="H93" s="30"/>
      <c r="L93" s="30"/>
      <c r="P93" s="30"/>
      <c r="T93" s="30"/>
    </row>
    <row r="94" spans="2:20" ht="13">
      <c r="B94" s="30"/>
      <c r="G94" s="30"/>
      <c r="H94" s="30"/>
      <c r="L94" s="30"/>
      <c r="P94" s="30"/>
      <c r="T94" s="30"/>
    </row>
    <row r="95" spans="2:20" ht="13">
      <c r="B95" s="30"/>
      <c r="G95" s="30"/>
      <c r="H95" s="30"/>
      <c r="L95" s="30"/>
      <c r="P95" s="30"/>
      <c r="T95" s="30"/>
    </row>
    <row r="96" spans="2:20" ht="13">
      <c r="B96" s="30"/>
      <c r="G96" s="30"/>
      <c r="H96" s="30"/>
      <c r="L96" s="30"/>
      <c r="P96" s="30"/>
      <c r="T96" s="30"/>
    </row>
    <row r="97" spans="2:20" ht="13">
      <c r="B97" s="30"/>
      <c r="G97" s="30"/>
      <c r="H97" s="30"/>
      <c r="L97" s="30"/>
      <c r="P97" s="30"/>
      <c r="T97" s="30"/>
    </row>
    <row r="98" spans="2:20" ht="13">
      <c r="B98" s="30"/>
      <c r="G98" s="30"/>
      <c r="H98" s="30"/>
      <c r="L98" s="30"/>
      <c r="P98" s="30"/>
      <c r="T98" s="30"/>
    </row>
    <row r="99" spans="2:20" ht="13">
      <c r="B99" s="30"/>
      <c r="G99" s="30"/>
      <c r="H99" s="30"/>
      <c r="L99" s="30"/>
      <c r="P99" s="30"/>
      <c r="T99" s="30"/>
    </row>
    <row r="100" spans="2:20" ht="13">
      <c r="B100" s="30"/>
      <c r="G100" s="30"/>
      <c r="H100" s="30"/>
      <c r="L100" s="30"/>
      <c r="P100" s="30"/>
      <c r="T100" s="30"/>
    </row>
    <row r="101" spans="2:20" ht="13">
      <c r="B101" s="30"/>
      <c r="G101" s="30"/>
      <c r="H101" s="30"/>
      <c r="L101" s="30"/>
      <c r="P101" s="30"/>
      <c r="T101" s="30"/>
    </row>
    <row r="102" spans="2:20" ht="13">
      <c r="B102" s="30"/>
      <c r="G102" s="30"/>
      <c r="H102" s="30"/>
      <c r="L102" s="30"/>
      <c r="P102" s="30"/>
      <c r="T102" s="30"/>
    </row>
    <row r="103" spans="2:20" ht="13">
      <c r="B103" s="30"/>
      <c r="G103" s="30"/>
      <c r="H103" s="30"/>
      <c r="L103" s="30"/>
      <c r="P103" s="30"/>
      <c r="T103" s="30"/>
    </row>
    <row r="104" spans="2:20" ht="13">
      <c r="B104" s="30"/>
      <c r="G104" s="30"/>
      <c r="H104" s="30"/>
      <c r="L104" s="30"/>
      <c r="P104" s="30"/>
      <c r="T104" s="30"/>
    </row>
    <row r="105" spans="2:20" ht="13">
      <c r="B105" s="30"/>
      <c r="G105" s="30"/>
      <c r="H105" s="30"/>
      <c r="L105" s="30"/>
      <c r="P105" s="30"/>
      <c r="T105" s="30"/>
    </row>
    <row r="106" spans="2:20" ht="13">
      <c r="B106" s="30"/>
      <c r="G106" s="30"/>
      <c r="H106" s="30"/>
      <c r="L106" s="30"/>
      <c r="P106" s="30"/>
      <c r="T106" s="30"/>
    </row>
    <row r="107" spans="2:20" ht="13">
      <c r="B107" s="30"/>
      <c r="G107" s="30"/>
      <c r="H107" s="30"/>
      <c r="L107" s="30"/>
      <c r="P107" s="30"/>
      <c r="T107" s="30"/>
    </row>
    <row r="108" spans="2:20" ht="13">
      <c r="B108" s="30"/>
      <c r="G108" s="30"/>
      <c r="H108" s="30"/>
      <c r="L108" s="30"/>
      <c r="P108" s="30"/>
      <c r="T108" s="30"/>
    </row>
    <row r="109" spans="2:20" ht="13">
      <c r="B109" s="30"/>
      <c r="G109" s="30"/>
      <c r="H109" s="30"/>
      <c r="L109" s="30"/>
      <c r="P109" s="30"/>
      <c r="T109" s="30"/>
    </row>
    <row r="110" spans="2:20" ht="13">
      <c r="B110" s="30"/>
      <c r="G110" s="30"/>
      <c r="H110" s="30"/>
      <c r="L110" s="30"/>
      <c r="P110" s="30"/>
      <c r="T110" s="30"/>
    </row>
    <row r="111" spans="2:20" ht="13">
      <c r="B111" s="30"/>
      <c r="G111" s="30"/>
      <c r="H111" s="30"/>
      <c r="L111" s="30"/>
      <c r="P111" s="30"/>
      <c r="T111" s="30"/>
    </row>
    <row r="112" spans="2:20" ht="13">
      <c r="B112" s="30"/>
      <c r="G112" s="30"/>
      <c r="H112" s="30"/>
      <c r="L112" s="30"/>
      <c r="P112" s="30"/>
      <c r="T112" s="30"/>
    </row>
    <row r="113" spans="2:20" ht="13">
      <c r="B113" s="30"/>
      <c r="G113" s="30"/>
      <c r="H113" s="30"/>
      <c r="L113" s="30"/>
      <c r="P113" s="30"/>
      <c r="T113" s="30"/>
    </row>
    <row r="114" spans="2:20" ht="13">
      <c r="B114" s="30"/>
      <c r="G114" s="30"/>
      <c r="H114" s="30"/>
      <c r="L114" s="30"/>
      <c r="P114" s="30"/>
      <c r="T114" s="30"/>
    </row>
    <row r="115" spans="2:20" ht="13">
      <c r="B115" s="30"/>
      <c r="G115" s="30"/>
      <c r="H115" s="30"/>
      <c r="L115" s="30"/>
      <c r="P115" s="30"/>
      <c r="T115" s="30"/>
    </row>
    <row r="116" spans="2:20" ht="13">
      <c r="B116" s="30"/>
      <c r="G116" s="30"/>
      <c r="H116" s="30"/>
      <c r="L116" s="30"/>
      <c r="P116" s="30"/>
      <c r="T116" s="30"/>
    </row>
    <row r="117" spans="2:20" ht="13">
      <c r="B117" s="30"/>
      <c r="G117" s="30"/>
      <c r="H117" s="30"/>
      <c r="L117" s="30"/>
      <c r="P117" s="30"/>
      <c r="T117" s="30"/>
    </row>
    <row r="118" spans="2:20" ht="13">
      <c r="B118" s="30"/>
      <c r="G118" s="30"/>
      <c r="H118" s="30"/>
      <c r="L118" s="30"/>
      <c r="P118" s="30"/>
      <c r="T118" s="30"/>
    </row>
    <row r="119" spans="2:20" ht="13">
      <c r="B119" s="30"/>
      <c r="G119" s="30"/>
      <c r="H119" s="30"/>
      <c r="L119" s="30"/>
      <c r="P119" s="30"/>
      <c r="T119" s="30"/>
    </row>
    <row r="120" spans="2:20" ht="13">
      <c r="B120" s="30"/>
      <c r="G120" s="30"/>
      <c r="H120" s="30"/>
      <c r="L120" s="30"/>
      <c r="P120" s="30"/>
      <c r="T120" s="30"/>
    </row>
    <row r="121" spans="2:20" ht="13">
      <c r="B121" s="30"/>
      <c r="G121" s="30"/>
      <c r="H121" s="30"/>
      <c r="L121" s="30"/>
      <c r="P121" s="30"/>
      <c r="T121" s="30"/>
    </row>
    <row r="122" spans="2:20" ht="13">
      <c r="B122" s="30"/>
      <c r="G122" s="30"/>
      <c r="H122" s="30"/>
      <c r="L122" s="30"/>
      <c r="P122" s="30"/>
      <c r="T122" s="30"/>
    </row>
    <row r="123" spans="2:20" ht="13">
      <c r="B123" s="30"/>
      <c r="G123" s="30"/>
      <c r="H123" s="30"/>
      <c r="L123" s="30"/>
      <c r="P123" s="30"/>
      <c r="T123" s="30"/>
    </row>
    <row r="124" spans="2:20" ht="13">
      <c r="B124" s="30"/>
      <c r="G124" s="30"/>
      <c r="H124" s="30"/>
      <c r="L124" s="30"/>
      <c r="P124" s="30"/>
      <c r="T124" s="30"/>
    </row>
    <row r="125" spans="2:20" ht="13">
      <c r="B125" s="30"/>
      <c r="G125" s="30"/>
      <c r="H125" s="30"/>
      <c r="L125" s="30"/>
      <c r="P125" s="30"/>
      <c r="T125" s="30"/>
    </row>
    <row r="126" spans="2:20" ht="13">
      <c r="B126" s="30"/>
      <c r="G126" s="30"/>
      <c r="H126" s="30"/>
      <c r="L126" s="30"/>
      <c r="P126" s="30"/>
      <c r="T126" s="30"/>
    </row>
    <row r="127" spans="2:20" ht="13">
      <c r="B127" s="30"/>
      <c r="G127" s="30"/>
      <c r="H127" s="30"/>
      <c r="L127" s="30"/>
      <c r="P127" s="30"/>
      <c r="T127" s="30"/>
    </row>
    <row r="128" spans="2:20" ht="13">
      <c r="B128" s="30"/>
      <c r="G128" s="30"/>
      <c r="H128" s="30"/>
      <c r="L128" s="30"/>
      <c r="P128" s="30"/>
      <c r="T128" s="30"/>
    </row>
    <row r="129" spans="2:20" ht="13">
      <c r="B129" s="30"/>
      <c r="G129" s="30"/>
      <c r="H129" s="30"/>
      <c r="L129" s="30"/>
      <c r="P129" s="30"/>
      <c r="T129" s="30"/>
    </row>
    <row r="130" spans="2:20" ht="13">
      <c r="B130" s="30"/>
      <c r="G130" s="30"/>
      <c r="H130" s="30"/>
      <c r="L130" s="30"/>
      <c r="P130" s="30"/>
      <c r="T130" s="30"/>
    </row>
    <row r="131" spans="2:20" ht="13">
      <c r="B131" s="30"/>
      <c r="G131" s="30"/>
      <c r="H131" s="30"/>
      <c r="L131" s="30"/>
      <c r="P131" s="30"/>
      <c r="T131" s="30"/>
    </row>
    <row r="132" spans="2:20" ht="13">
      <c r="B132" s="30"/>
      <c r="G132" s="30"/>
      <c r="H132" s="30"/>
      <c r="L132" s="30"/>
      <c r="P132" s="30"/>
      <c r="T132" s="30"/>
    </row>
    <row r="133" spans="2:20" ht="13">
      <c r="B133" s="30"/>
      <c r="G133" s="30"/>
      <c r="H133" s="30"/>
      <c r="L133" s="30"/>
      <c r="P133" s="30"/>
      <c r="T133" s="30"/>
    </row>
    <row r="134" spans="2:20" ht="13">
      <c r="B134" s="30"/>
      <c r="G134" s="30"/>
      <c r="H134" s="30"/>
      <c r="L134" s="30"/>
      <c r="P134" s="30"/>
      <c r="T134" s="30"/>
    </row>
    <row r="135" spans="2:20" ht="13">
      <c r="B135" s="30"/>
      <c r="G135" s="30"/>
      <c r="H135" s="30"/>
      <c r="L135" s="30"/>
      <c r="P135" s="30"/>
      <c r="T135" s="30"/>
    </row>
    <row r="136" spans="2:20" ht="13">
      <c r="B136" s="30"/>
      <c r="G136" s="30"/>
      <c r="H136" s="30"/>
      <c r="L136" s="30"/>
      <c r="P136" s="30"/>
      <c r="T136" s="30"/>
    </row>
    <row r="137" spans="2:20" ht="13">
      <c r="B137" s="30"/>
      <c r="G137" s="30"/>
      <c r="H137" s="30"/>
      <c r="L137" s="30"/>
      <c r="P137" s="30"/>
      <c r="T137" s="30"/>
    </row>
    <row r="138" spans="2:20" ht="13">
      <c r="B138" s="30"/>
      <c r="G138" s="30"/>
      <c r="H138" s="30"/>
      <c r="L138" s="30"/>
      <c r="P138" s="30"/>
      <c r="T138" s="30"/>
    </row>
    <row r="139" spans="2:20" ht="13">
      <c r="B139" s="30"/>
      <c r="G139" s="30"/>
      <c r="H139" s="30"/>
      <c r="L139" s="30"/>
      <c r="P139" s="30"/>
      <c r="T139" s="30"/>
    </row>
    <row r="140" spans="2:20" ht="13">
      <c r="B140" s="30"/>
      <c r="G140" s="30"/>
      <c r="H140" s="30"/>
      <c r="L140" s="30"/>
      <c r="P140" s="30"/>
      <c r="T140" s="30"/>
    </row>
    <row r="141" spans="2:20" ht="13">
      <c r="B141" s="30"/>
      <c r="G141" s="30"/>
      <c r="H141" s="30"/>
      <c r="L141" s="30"/>
      <c r="P141" s="30"/>
      <c r="T141" s="30"/>
    </row>
    <row r="142" spans="2:20" ht="13">
      <c r="B142" s="30"/>
      <c r="G142" s="30"/>
      <c r="H142" s="30"/>
      <c r="L142" s="30"/>
      <c r="P142" s="30"/>
      <c r="T142" s="30"/>
    </row>
    <row r="143" spans="2:20" ht="13">
      <c r="B143" s="30"/>
      <c r="G143" s="30"/>
      <c r="H143" s="30"/>
      <c r="L143" s="30"/>
      <c r="P143" s="30"/>
      <c r="T143" s="30"/>
    </row>
    <row r="144" spans="2:20" ht="13">
      <c r="B144" s="30"/>
      <c r="G144" s="30"/>
      <c r="H144" s="30"/>
      <c r="L144" s="30"/>
      <c r="P144" s="30"/>
      <c r="T144" s="30"/>
    </row>
    <row r="145" spans="2:20" ht="13">
      <c r="B145" s="30"/>
      <c r="G145" s="30"/>
      <c r="H145" s="30"/>
      <c r="L145" s="30"/>
      <c r="P145" s="30"/>
      <c r="T145" s="30"/>
    </row>
    <row r="146" spans="2:20" ht="13">
      <c r="B146" s="30"/>
      <c r="G146" s="30"/>
      <c r="H146" s="30"/>
      <c r="L146" s="30"/>
      <c r="P146" s="30"/>
      <c r="T146" s="30"/>
    </row>
    <row r="147" spans="2:20" ht="13">
      <c r="B147" s="30"/>
      <c r="G147" s="30"/>
      <c r="H147" s="30"/>
      <c r="L147" s="30"/>
      <c r="P147" s="30"/>
      <c r="T147" s="30"/>
    </row>
    <row r="148" spans="2:20" ht="13">
      <c r="B148" s="30"/>
      <c r="G148" s="30"/>
      <c r="H148" s="30"/>
      <c r="L148" s="30"/>
      <c r="P148" s="30"/>
      <c r="T148" s="30"/>
    </row>
    <row r="149" spans="2:20" ht="13">
      <c r="B149" s="30"/>
      <c r="G149" s="30"/>
      <c r="H149" s="30"/>
      <c r="L149" s="30"/>
      <c r="P149" s="30"/>
      <c r="T149" s="30"/>
    </row>
    <row r="150" spans="2:20" ht="13">
      <c r="B150" s="30"/>
      <c r="G150" s="30"/>
      <c r="H150" s="30"/>
      <c r="L150" s="30"/>
      <c r="P150" s="30"/>
      <c r="T150" s="30"/>
    </row>
    <row r="151" spans="2:20" ht="13">
      <c r="B151" s="30"/>
      <c r="G151" s="30"/>
      <c r="H151" s="30"/>
      <c r="L151" s="30"/>
      <c r="P151" s="30"/>
      <c r="T151" s="30"/>
    </row>
    <row r="152" spans="2:20" ht="13">
      <c r="B152" s="30"/>
      <c r="G152" s="30"/>
      <c r="H152" s="30"/>
      <c r="L152" s="30"/>
      <c r="P152" s="30"/>
      <c r="T152" s="30"/>
    </row>
    <row r="153" spans="2:20" ht="13">
      <c r="B153" s="30"/>
      <c r="G153" s="30"/>
      <c r="H153" s="30"/>
      <c r="L153" s="30"/>
      <c r="P153" s="30"/>
      <c r="T153" s="30"/>
    </row>
    <row r="154" spans="2:20" ht="13">
      <c r="B154" s="30"/>
      <c r="G154" s="30"/>
      <c r="H154" s="30"/>
      <c r="L154" s="30"/>
      <c r="P154" s="30"/>
      <c r="T154" s="30"/>
    </row>
    <row r="155" spans="2:20" ht="13">
      <c r="B155" s="30"/>
      <c r="G155" s="30"/>
      <c r="H155" s="30"/>
      <c r="L155" s="30"/>
      <c r="P155" s="30"/>
      <c r="T155" s="30"/>
    </row>
    <row r="156" spans="2:20" ht="13">
      <c r="B156" s="30"/>
      <c r="G156" s="30"/>
      <c r="H156" s="30"/>
      <c r="L156" s="30"/>
      <c r="P156" s="30"/>
      <c r="T156" s="30"/>
    </row>
    <row r="157" spans="2:20" ht="13">
      <c r="B157" s="30"/>
      <c r="G157" s="30"/>
      <c r="H157" s="30"/>
      <c r="L157" s="30"/>
      <c r="P157" s="30"/>
      <c r="T157" s="30"/>
    </row>
    <row r="158" spans="2:20" ht="13">
      <c r="B158" s="30"/>
      <c r="G158" s="30"/>
      <c r="H158" s="30"/>
      <c r="L158" s="30"/>
      <c r="P158" s="30"/>
      <c r="T158" s="30"/>
    </row>
    <row r="159" spans="2:20" ht="13">
      <c r="B159" s="30"/>
      <c r="G159" s="30"/>
      <c r="H159" s="30"/>
      <c r="L159" s="30"/>
      <c r="P159" s="30"/>
      <c r="T159" s="30"/>
    </row>
    <row r="160" spans="2:20" ht="13">
      <c r="B160" s="30"/>
      <c r="G160" s="30"/>
      <c r="H160" s="30"/>
      <c r="L160" s="30"/>
      <c r="P160" s="30"/>
      <c r="T160" s="30"/>
    </row>
    <row r="161" spans="2:20" ht="13">
      <c r="B161" s="30"/>
      <c r="G161" s="30"/>
      <c r="H161" s="30"/>
      <c r="L161" s="30"/>
      <c r="P161" s="30"/>
      <c r="T161" s="30"/>
    </row>
    <row r="162" spans="2:20" ht="13">
      <c r="B162" s="30"/>
      <c r="G162" s="30"/>
      <c r="H162" s="30"/>
      <c r="L162" s="30"/>
      <c r="P162" s="30"/>
      <c r="T162" s="30"/>
    </row>
    <row r="163" spans="2:20" ht="13">
      <c r="B163" s="30"/>
      <c r="G163" s="30"/>
      <c r="H163" s="30"/>
      <c r="L163" s="30"/>
      <c r="P163" s="30"/>
      <c r="T163" s="30"/>
    </row>
    <row r="164" spans="2:20" ht="13">
      <c r="B164" s="30"/>
      <c r="G164" s="30"/>
      <c r="H164" s="30"/>
      <c r="L164" s="30"/>
      <c r="P164" s="30"/>
      <c r="T164" s="30"/>
    </row>
    <row r="165" spans="2:20" ht="13">
      <c r="B165" s="30"/>
      <c r="G165" s="30"/>
      <c r="H165" s="30"/>
      <c r="L165" s="30"/>
      <c r="P165" s="30"/>
      <c r="T165" s="30"/>
    </row>
    <row r="166" spans="2:20" ht="13">
      <c r="B166" s="30"/>
      <c r="G166" s="30"/>
      <c r="H166" s="30"/>
      <c r="L166" s="30"/>
      <c r="P166" s="30"/>
      <c r="T166" s="30"/>
    </row>
    <row r="167" spans="2:20" ht="13">
      <c r="B167" s="30"/>
      <c r="G167" s="30"/>
      <c r="H167" s="30"/>
      <c r="L167" s="30"/>
      <c r="P167" s="30"/>
      <c r="T167" s="30"/>
    </row>
    <row r="168" spans="2:20" ht="13">
      <c r="B168" s="30"/>
      <c r="G168" s="30"/>
      <c r="H168" s="30"/>
      <c r="L168" s="30"/>
      <c r="P168" s="30"/>
      <c r="T168" s="30"/>
    </row>
    <row r="169" spans="2:20" ht="13">
      <c r="B169" s="30"/>
      <c r="G169" s="30"/>
      <c r="H169" s="30"/>
      <c r="L169" s="30"/>
      <c r="P169" s="30"/>
      <c r="T169" s="30"/>
    </row>
    <row r="170" spans="2:20" ht="13">
      <c r="B170" s="30"/>
      <c r="G170" s="30"/>
      <c r="H170" s="30"/>
      <c r="L170" s="30"/>
      <c r="P170" s="30"/>
      <c r="T170" s="30"/>
    </row>
    <row r="171" spans="2:20" ht="13">
      <c r="B171" s="30"/>
      <c r="G171" s="30"/>
      <c r="H171" s="30"/>
      <c r="L171" s="30"/>
      <c r="P171" s="30"/>
      <c r="T171" s="30"/>
    </row>
    <row r="172" spans="2:20" ht="13">
      <c r="B172" s="30"/>
      <c r="G172" s="30"/>
      <c r="H172" s="30"/>
      <c r="L172" s="30"/>
      <c r="P172" s="30"/>
      <c r="T172" s="30"/>
    </row>
    <row r="173" spans="2:20" ht="13">
      <c r="B173" s="30"/>
      <c r="G173" s="30"/>
      <c r="H173" s="30"/>
      <c r="L173" s="30"/>
      <c r="P173" s="30"/>
      <c r="T173" s="30"/>
    </row>
    <row r="174" spans="2:20" ht="13">
      <c r="B174" s="30"/>
      <c r="G174" s="30"/>
      <c r="H174" s="30"/>
      <c r="L174" s="30"/>
      <c r="P174" s="30"/>
      <c r="T174" s="30"/>
    </row>
    <row r="175" spans="2:20" ht="13">
      <c r="B175" s="30"/>
      <c r="G175" s="30"/>
      <c r="H175" s="30"/>
      <c r="L175" s="30"/>
      <c r="P175" s="30"/>
      <c r="T175" s="30"/>
    </row>
    <row r="176" spans="2:20" ht="13">
      <c r="B176" s="30"/>
      <c r="G176" s="30"/>
      <c r="H176" s="30"/>
      <c r="L176" s="30"/>
      <c r="P176" s="30"/>
      <c r="T176" s="30"/>
    </row>
    <row r="177" spans="2:20" ht="13">
      <c r="B177" s="30"/>
      <c r="G177" s="30"/>
      <c r="H177" s="30"/>
      <c r="L177" s="30"/>
      <c r="P177" s="30"/>
      <c r="T177" s="30"/>
    </row>
    <row r="178" spans="2:20" ht="13">
      <c r="B178" s="30"/>
      <c r="G178" s="30"/>
      <c r="H178" s="30"/>
      <c r="L178" s="30"/>
      <c r="P178" s="30"/>
      <c r="T178" s="30"/>
    </row>
    <row r="179" spans="2:20" ht="13">
      <c r="B179" s="30"/>
      <c r="G179" s="30"/>
      <c r="H179" s="30"/>
      <c r="L179" s="30"/>
      <c r="P179" s="30"/>
      <c r="T179" s="30"/>
    </row>
    <row r="180" spans="2:20" ht="13">
      <c r="B180" s="30"/>
      <c r="G180" s="30"/>
      <c r="H180" s="30"/>
      <c r="L180" s="30"/>
      <c r="P180" s="30"/>
      <c r="T180" s="30"/>
    </row>
    <row r="181" spans="2:20" ht="13">
      <c r="B181" s="30"/>
      <c r="G181" s="30"/>
      <c r="H181" s="30"/>
      <c r="L181" s="30"/>
      <c r="P181" s="30"/>
      <c r="T181" s="30"/>
    </row>
    <row r="182" spans="2:20" ht="13">
      <c r="B182" s="30"/>
      <c r="G182" s="30"/>
      <c r="H182" s="30"/>
      <c r="L182" s="30"/>
      <c r="P182" s="30"/>
      <c r="T182" s="30"/>
    </row>
    <row r="183" spans="2:20" ht="13">
      <c r="B183" s="30"/>
      <c r="G183" s="30"/>
      <c r="H183" s="30"/>
      <c r="L183" s="30"/>
      <c r="P183" s="30"/>
      <c r="T183" s="30"/>
    </row>
    <row r="184" spans="2:20" ht="13">
      <c r="B184" s="30"/>
      <c r="G184" s="30"/>
      <c r="H184" s="30"/>
      <c r="L184" s="30"/>
      <c r="P184" s="30"/>
      <c r="T184" s="30"/>
    </row>
    <row r="185" spans="2:20" ht="13">
      <c r="B185" s="30"/>
      <c r="G185" s="30"/>
      <c r="H185" s="30"/>
      <c r="L185" s="30"/>
      <c r="P185" s="30"/>
      <c r="T185" s="30"/>
    </row>
    <row r="186" spans="2:20" ht="13">
      <c r="B186" s="30"/>
      <c r="G186" s="30"/>
      <c r="H186" s="30"/>
      <c r="L186" s="30"/>
      <c r="P186" s="30"/>
      <c r="T186" s="30"/>
    </row>
    <row r="187" spans="2:20" ht="13">
      <c r="B187" s="30"/>
      <c r="G187" s="30"/>
      <c r="H187" s="30"/>
      <c r="L187" s="30"/>
      <c r="P187" s="30"/>
      <c r="T187" s="30"/>
    </row>
    <row r="188" spans="2:20" ht="13">
      <c r="B188" s="30"/>
      <c r="G188" s="30"/>
      <c r="H188" s="30"/>
      <c r="L188" s="30"/>
      <c r="P188" s="30"/>
      <c r="T188" s="30"/>
    </row>
    <row r="189" spans="2:20" ht="13">
      <c r="B189" s="30"/>
      <c r="G189" s="30"/>
      <c r="H189" s="30"/>
      <c r="L189" s="30"/>
      <c r="P189" s="30"/>
      <c r="T189" s="30"/>
    </row>
    <row r="190" spans="2:20" ht="13">
      <c r="B190" s="30"/>
      <c r="G190" s="30"/>
      <c r="H190" s="30"/>
      <c r="L190" s="30"/>
      <c r="P190" s="30"/>
      <c r="T190" s="30"/>
    </row>
    <row r="191" spans="2:20" ht="13">
      <c r="B191" s="30"/>
      <c r="G191" s="30"/>
      <c r="H191" s="30"/>
      <c r="L191" s="30"/>
      <c r="P191" s="30"/>
      <c r="T191" s="30"/>
    </row>
    <row r="192" spans="2:20" ht="13">
      <c r="B192" s="30"/>
      <c r="G192" s="30"/>
      <c r="H192" s="30"/>
      <c r="L192" s="30"/>
      <c r="P192" s="30"/>
      <c r="T192" s="30"/>
    </row>
    <row r="193" spans="2:20" ht="13">
      <c r="B193" s="30"/>
      <c r="G193" s="30"/>
      <c r="H193" s="30"/>
      <c r="L193" s="30"/>
      <c r="P193" s="30"/>
      <c r="T193" s="30"/>
    </row>
    <row r="194" spans="2:20" ht="13">
      <c r="B194" s="30"/>
      <c r="G194" s="30"/>
      <c r="H194" s="30"/>
      <c r="L194" s="30"/>
      <c r="P194" s="30"/>
      <c r="T194" s="30"/>
    </row>
    <row r="195" spans="2:20" ht="13">
      <c r="B195" s="30"/>
      <c r="G195" s="30"/>
      <c r="H195" s="30"/>
      <c r="L195" s="30"/>
      <c r="P195" s="30"/>
      <c r="T195" s="30"/>
    </row>
    <row r="196" spans="2:20" ht="13">
      <c r="B196" s="30"/>
      <c r="G196" s="30"/>
      <c r="H196" s="30"/>
      <c r="L196" s="30"/>
      <c r="P196" s="30"/>
      <c r="T196" s="30"/>
    </row>
    <row r="197" spans="2:20" ht="13">
      <c r="B197" s="30"/>
      <c r="G197" s="30"/>
      <c r="H197" s="30"/>
      <c r="L197" s="30"/>
      <c r="P197" s="30"/>
      <c r="T197" s="30"/>
    </row>
    <row r="198" spans="2:20" ht="13">
      <c r="B198" s="30"/>
      <c r="G198" s="30"/>
      <c r="H198" s="30"/>
      <c r="L198" s="30"/>
      <c r="P198" s="30"/>
      <c r="T198" s="30"/>
    </row>
    <row r="199" spans="2:20" ht="13">
      <c r="B199" s="30"/>
      <c r="G199" s="30"/>
      <c r="H199" s="30"/>
      <c r="L199" s="30"/>
      <c r="P199" s="30"/>
      <c r="T199" s="30"/>
    </row>
    <row r="200" spans="2:20" ht="13">
      <c r="B200" s="30"/>
      <c r="G200" s="30"/>
      <c r="H200" s="30"/>
      <c r="L200" s="30"/>
      <c r="P200" s="30"/>
      <c r="T200" s="30"/>
    </row>
    <row r="201" spans="2:20" ht="13">
      <c r="B201" s="30"/>
      <c r="G201" s="30"/>
      <c r="H201" s="30"/>
      <c r="L201" s="30"/>
      <c r="P201" s="30"/>
      <c r="T201" s="30"/>
    </row>
    <row r="202" spans="2:20" ht="13">
      <c r="B202" s="30"/>
      <c r="G202" s="30"/>
      <c r="H202" s="30"/>
      <c r="L202" s="30"/>
      <c r="P202" s="30"/>
      <c r="T202" s="30"/>
    </row>
    <row r="203" spans="2:20" ht="13">
      <c r="B203" s="30"/>
      <c r="G203" s="30"/>
      <c r="H203" s="30"/>
      <c r="L203" s="30"/>
      <c r="P203" s="30"/>
      <c r="T203" s="30"/>
    </row>
    <row r="204" spans="2:20" ht="13">
      <c r="B204" s="30"/>
      <c r="G204" s="30"/>
      <c r="H204" s="30"/>
      <c r="L204" s="30"/>
      <c r="P204" s="30"/>
      <c r="T204" s="30"/>
    </row>
    <row r="205" spans="2:20" ht="13">
      <c r="B205" s="30"/>
      <c r="G205" s="30"/>
      <c r="H205" s="30"/>
      <c r="L205" s="30"/>
      <c r="P205" s="30"/>
      <c r="T205" s="30"/>
    </row>
    <row r="206" spans="2:20" ht="13">
      <c r="B206" s="30"/>
      <c r="G206" s="30"/>
      <c r="H206" s="30"/>
      <c r="L206" s="30"/>
      <c r="P206" s="30"/>
      <c r="T206" s="30"/>
    </row>
    <row r="207" spans="2:20" ht="13">
      <c r="B207" s="30"/>
      <c r="G207" s="30"/>
      <c r="H207" s="30"/>
      <c r="L207" s="30"/>
      <c r="P207" s="30"/>
      <c r="T207" s="30"/>
    </row>
    <row r="208" spans="2:20" ht="13">
      <c r="B208" s="30"/>
      <c r="G208" s="30"/>
      <c r="H208" s="30"/>
      <c r="L208" s="30"/>
      <c r="P208" s="30"/>
      <c r="T208" s="30"/>
    </row>
    <row r="209" spans="2:20" ht="13">
      <c r="B209" s="30"/>
      <c r="G209" s="30"/>
      <c r="H209" s="30"/>
      <c r="L209" s="30"/>
      <c r="P209" s="30"/>
      <c r="T209" s="30"/>
    </row>
    <row r="210" spans="2:20" ht="13">
      <c r="B210" s="30"/>
      <c r="G210" s="30"/>
      <c r="H210" s="30"/>
      <c r="L210" s="30"/>
      <c r="P210" s="30"/>
      <c r="T210" s="30"/>
    </row>
    <row r="211" spans="2:20" ht="13">
      <c r="B211" s="30"/>
      <c r="G211" s="30"/>
      <c r="H211" s="30"/>
      <c r="L211" s="30"/>
      <c r="P211" s="30"/>
      <c r="T211" s="30"/>
    </row>
    <row r="212" spans="2:20" ht="13">
      <c r="B212" s="30"/>
      <c r="G212" s="30"/>
      <c r="H212" s="30"/>
      <c r="L212" s="30"/>
      <c r="P212" s="30"/>
      <c r="T212" s="30"/>
    </row>
    <row r="213" spans="2:20" ht="13">
      <c r="B213" s="30"/>
      <c r="G213" s="30"/>
      <c r="H213" s="30"/>
      <c r="L213" s="30"/>
      <c r="P213" s="30"/>
      <c r="T213" s="30"/>
    </row>
    <row r="214" spans="2:20" ht="13">
      <c r="B214" s="30"/>
      <c r="G214" s="30"/>
      <c r="H214" s="30"/>
      <c r="L214" s="30"/>
      <c r="P214" s="30"/>
      <c r="T214" s="30"/>
    </row>
    <row r="215" spans="2:20" ht="13">
      <c r="B215" s="30"/>
      <c r="G215" s="30"/>
      <c r="H215" s="30"/>
      <c r="L215" s="30"/>
      <c r="P215" s="30"/>
      <c r="T215" s="30"/>
    </row>
    <row r="216" spans="2:20" ht="13">
      <c r="B216" s="30"/>
      <c r="G216" s="30"/>
      <c r="H216" s="30"/>
      <c r="L216" s="30"/>
      <c r="P216" s="30"/>
      <c r="T216" s="30"/>
    </row>
    <row r="217" spans="2:20" ht="13">
      <c r="B217" s="30"/>
      <c r="G217" s="30"/>
      <c r="H217" s="30"/>
      <c r="L217" s="30"/>
      <c r="P217" s="30"/>
      <c r="T217" s="30"/>
    </row>
    <row r="218" spans="2:20" ht="13">
      <c r="B218" s="30"/>
      <c r="G218" s="30"/>
      <c r="H218" s="30"/>
      <c r="L218" s="30"/>
      <c r="P218" s="30"/>
      <c r="T218" s="30"/>
    </row>
    <row r="219" spans="2:20" ht="13">
      <c r="B219" s="30"/>
      <c r="G219" s="30"/>
      <c r="H219" s="30"/>
      <c r="L219" s="30"/>
      <c r="P219" s="30"/>
      <c r="T219" s="30"/>
    </row>
    <row r="220" spans="2:20" ht="13">
      <c r="B220" s="30"/>
      <c r="G220" s="30"/>
      <c r="H220" s="30"/>
      <c r="L220" s="30"/>
      <c r="P220" s="30"/>
      <c r="T220" s="30"/>
    </row>
    <row r="221" spans="2:20" ht="13">
      <c r="B221" s="30"/>
      <c r="G221" s="30"/>
      <c r="H221" s="30"/>
      <c r="L221" s="30"/>
      <c r="P221" s="30"/>
      <c r="T221" s="30"/>
    </row>
    <row r="222" spans="2:20" ht="13">
      <c r="B222" s="30"/>
      <c r="G222" s="30"/>
      <c r="H222" s="30"/>
      <c r="L222" s="30"/>
      <c r="P222" s="30"/>
      <c r="T222" s="30"/>
    </row>
    <row r="223" spans="2:20" ht="13">
      <c r="B223" s="30"/>
      <c r="G223" s="30"/>
      <c r="H223" s="30"/>
      <c r="L223" s="30"/>
      <c r="P223" s="30"/>
      <c r="T223" s="30"/>
    </row>
    <row r="224" spans="2:20" ht="13">
      <c r="B224" s="30"/>
      <c r="G224" s="30"/>
      <c r="H224" s="30"/>
      <c r="L224" s="30"/>
      <c r="P224" s="30"/>
      <c r="T224" s="30"/>
    </row>
    <row r="225" spans="2:20" ht="13">
      <c r="B225" s="30"/>
      <c r="G225" s="30"/>
      <c r="H225" s="30"/>
      <c r="L225" s="30"/>
      <c r="P225" s="30"/>
      <c r="T225" s="30"/>
    </row>
    <row r="226" spans="2:20" ht="13">
      <c r="B226" s="30"/>
      <c r="G226" s="30"/>
      <c r="H226" s="30"/>
      <c r="L226" s="30"/>
      <c r="P226" s="30"/>
      <c r="T226" s="30"/>
    </row>
    <row r="227" spans="2:20" ht="13">
      <c r="B227" s="30"/>
      <c r="G227" s="30"/>
      <c r="H227" s="30"/>
      <c r="L227" s="30"/>
      <c r="P227" s="30"/>
      <c r="T227" s="30"/>
    </row>
    <row r="228" spans="2:20" ht="13">
      <c r="B228" s="30"/>
      <c r="G228" s="30"/>
      <c r="H228" s="30"/>
      <c r="L228" s="30"/>
      <c r="P228" s="30"/>
      <c r="T228" s="30"/>
    </row>
    <row r="229" spans="2:20" ht="13">
      <c r="B229" s="30"/>
      <c r="G229" s="30"/>
      <c r="H229" s="30"/>
      <c r="L229" s="30"/>
      <c r="P229" s="30"/>
      <c r="T229" s="30"/>
    </row>
    <row r="230" spans="2:20" ht="13">
      <c r="B230" s="30"/>
      <c r="G230" s="30"/>
      <c r="H230" s="30"/>
      <c r="L230" s="30"/>
      <c r="P230" s="30"/>
      <c r="T230" s="30"/>
    </row>
    <row r="231" spans="2:20" ht="13">
      <c r="B231" s="30"/>
      <c r="G231" s="30"/>
      <c r="H231" s="30"/>
      <c r="L231" s="30"/>
      <c r="P231" s="30"/>
      <c r="T231" s="30"/>
    </row>
    <row r="232" spans="2:20" ht="13">
      <c r="B232" s="30"/>
      <c r="G232" s="30"/>
      <c r="H232" s="30"/>
      <c r="L232" s="30"/>
      <c r="P232" s="30"/>
      <c r="T232" s="30"/>
    </row>
    <row r="233" spans="2:20" ht="13">
      <c r="B233" s="30"/>
      <c r="G233" s="30"/>
      <c r="H233" s="30"/>
      <c r="L233" s="30"/>
      <c r="P233" s="30"/>
      <c r="T233" s="30"/>
    </row>
    <row r="234" spans="2:20" ht="13">
      <c r="B234" s="30"/>
      <c r="G234" s="30"/>
      <c r="H234" s="30"/>
      <c r="L234" s="30"/>
      <c r="P234" s="30"/>
      <c r="T234" s="30"/>
    </row>
    <row r="235" spans="2:20" ht="13">
      <c r="B235" s="30"/>
      <c r="G235" s="30"/>
      <c r="H235" s="30"/>
      <c r="L235" s="30"/>
      <c r="P235" s="30"/>
      <c r="T235" s="30"/>
    </row>
    <row r="236" spans="2:20" ht="13">
      <c r="B236" s="30"/>
      <c r="G236" s="30"/>
      <c r="H236" s="30"/>
      <c r="L236" s="30"/>
      <c r="P236" s="30"/>
      <c r="T236" s="30"/>
    </row>
    <row r="237" spans="2:20" ht="13">
      <c r="B237" s="30"/>
      <c r="G237" s="30"/>
      <c r="H237" s="30"/>
      <c r="L237" s="30"/>
      <c r="P237" s="30"/>
      <c r="T237" s="30"/>
    </row>
    <row r="238" spans="2:20" ht="13">
      <c r="B238" s="30"/>
      <c r="G238" s="30"/>
      <c r="H238" s="30"/>
      <c r="L238" s="30"/>
      <c r="P238" s="30"/>
      <c r="T238" s="30"/>
    </row>
    <row r="239" spans="2:20" ht="13">
      <c r="B239" s="30"/>
      <c r="G239" s="30"/>
      <c r="H239" s="30"/>
      <c r="L239" s="30"/>
      <c r="P239" s="30"/>
      <c r="T239" s="30"/>
    </row>
    <row r="240" spans="2:20" ht="13">
      <c r="B240" s="30"/>
      <c r="G240" s="30"/>
      <c r="H240" s="30"/>
      <c r="L240" s="30"/>
      <c r="P240" s="30"/>
      <c r="T240" s="30"/>
    </row>
    <row r="241" spans="2:20" ht="13">
      <c r="B241" s="30"/>
      <c r="G241" s="30"/>
      <c r="H241" s="30"/>
      <c r="L241" s="30"/>
      <c r="P241" s="30"/>
      <c r="T241" s="30"/>
    </row>
    <row r="242" spans="2:20" ht="13">
      <c r="B242" s="30"/>
      <c r="G242" s="30"/>
      <c r="H242" s="30"/>
      <c r="L242" s="30"/>
      <c r="P242" s="30"/>
      <c r="T242" s="30"/>
    </row>
    <row r="243" spans="2:20" ht="13">
      <c r="B243" s="30"/>
      <c r="G243" s="30"/>
      <c r="H243" s="30"/>
      <c r="L243" s="30"/>
      <c r="P243" s="30"/>
      <c r="T243" s="30"/>
    </row>
    <row r="244" spans="2:20" ht="13">
      <c r="B244" s="30"/>
      <c r="G244" s="30"/>
      <c r="H244" s="30"/>
      <c r="L244" s="30"/>
      <c r="P244" s="30"/>
      <c r="T244" s="30"/>
    </row>
    <row r="245" spans="2:20" ht="13">
      <c r="B245" s="30"/>
      <c r="G245" s="30"/>
      <c r="H245" s="30"/>
      <c r="L245" s="30"/>
      <c r="P245" s="30"/>
      <c r="T245" s="30"/>
    </row>
    <row r="246" spans="2:20" ht="13">
      <c r="B246" s="30"/>
      <c r="G246" s="30"/>
      <c r="H246" s="30"/>
      <c r="L246" s="30"/>
      <c r="P246" s="30"/>
      <c r="T246" s="30"/>
    </row>
    <row r="247" spans="2:20" ht="13">
      <c r="B247" s="30"/>
      <c r="G247" s="30"/>
      <c r="H247" s="30"/>
      <c r="L247" s="30"/>
      <c r="P247" s="30"/>
      <c r="T247" s="30"/>
    </row>
    <row r="248" spans="2:20" ht="13">
      <c r="B248" s="30"/>
      <c r="G248" s="30"/>
      <c r="H248" s="30"/>
      <c r="L248" s="30"/>
      <c r="P248" s="30"/>
      <c r="T248" s="30"/>
    </row>
    <row r="249" spans="2:20" ht="13">
      <c r="B249" s="30"/>
      <c r="G249" s="30"/>
      <c r="H249" s="30"/>
      <c r="L249" s="30"/>
      <c r="P249" s="30"/>
      <c r="T249" s="30"/>
    </row>
    <row r="250" spans="2:20" ht="13">
      <c r="B250" s="30"/>
      <c r="G250" s="30"/>
      <c r="H250" s="30"/>
      <c r="L250" s="30"/>
      <c r="P250" s="30"/>
      <c r="T250" s="30"/>
    </row>
    <row r="251" spans="2:20" ht="13">
      <c r="B251" s="30"/>
      <c r="G251" s="30"/>
      <c r="H251" s="30"/>
      <c r="L251" s="30"/>
      <c r="P251" s="30"/>
      <c r="T251" s="30"/>
    </row>
    <row r="252" spans="2:20" ht="13">
      <c r="B252" s="30"/>
      <c r="G252" s="30"/>
      <c r="H252" s="30"/>
      <c r="L252" s="30"/>
      <c r="P252" s="30"/>
      <c r="T252" s="30"/>
    </row>
    <row r="253" spans="2:20" ht="13">
      <c r="B253" s="30"/>
      <c r="G253" s="30"/>
      <c r="H253" s="30"/>
      <c r="L253" s="30"/>
      <c r="P253" s="30"/>
      <c r="T253" s="30"/>
    </row>
    <row r="254" spans="2:20" ht="13">
      <c r="B254" s="30"/>
      <c r="G254" s="30"/>
      <c r="H254" s="30"/>
      <c r="L254" s="30"/>
      <c r="P254" s="30"/>
      <c r="T254" s="30"/>
    </row>
    <row r="255" spans="2:20" ht="13">
      <c r="B255" s="30"/>
      <c r="G255" s="30"/>
      <c r="H255" s="30"/>
      <c r="L255" s="30"/>
      <c r="P255" s="30"/>
      <c r="T255" s="30"/>
    </row>
    <row r="256" spans="2:20" ht="13">
      <c r="B256" s="30"/>
      <c r="G256" s="30"/>
      <c r="H256" s="30"/>
      <c r="L256" s="30"/>
      <c r="P256" s="30"/>
      <c r="T256" s="30"/>
    </row>
    <row r="257" spans="2:20" ht="13">
      <c r="B257" s="30"/>
      <c r="G257" s="30"/>
      <c r="H257" s="30"/>
      <c r="L257" s="30"/>
      <c r="P257" s="30"/>
      <c r="T257" s="30"/>
    </row>
    <row r="258" spans="2:20" ht="13">
      <c r="B258" s="30"/>
      <c r="G258" s="30"/>
      <c r="H258" s="30"/>
      <c r="L258" s="30"/>
      <c r="P258" s="30"/>
      <c r="T258" s="30"/>
    </row>
    <row r="259" spans="2:20" ht="13">
      <c r="B259" s="30"/>
      <c r="G259" s="30"/>
      <c r="H259" s="30"/>
      <c r="L259" s="30"/>
      <c r="P259" s="30"/>
      <c r="T259" s="30"/>
    </row>
    <row r="260" spans="2:20" ht="13">
      <c r="B260" s="30"/>
      <c r="G260" s="30"/>
      <c r="H260" s="30"/>
      <c r="L260" s="30"/>
      <c r="P260" s="30"/>
      <c r="T260" s="30"/>
    </row>
    <row r="261" spans="2:20" ht="13">
      <c r="B261" s="30"/>
      <c r="G261" s="30"/>
      <c r="H261" s="30"/>
      <c r="L261" s="30"/>
      <c r="P261" s="30"/>
      <c r="T261" s="30"/>
    </row>
    <row r="262" spans="2:20" ht="13">
      <c r="B262" s="30"/>
      <c r="G262" s="30"/>
      <c r="H262" s="30"/>
      <c r="L262" s="30"/>
      <c r="P262" s="30"/>
      <c r="T262" s="30"/>
    </row>
    <row r="263" spans="2:20" ht="13">
      <c r="B263" s="30"/>
      <c r="G263" s="30"/>
      <c r="H263" s="30"/>
      <c r="L263" s="30"/>
      <c r="P263" s="30"/>
      <c r="T263" s="30"/>
    </row>
    <row r="264" spans="2:20" ht="13">
      <c r="B264" s="30"/>
      <c r="G264" s="30"/>
      <c r="H264" s="30"/>
      <c r="L264" s="30"/>
      <c r="P264" s="30"/>
      <c r="T264" s="30"/>
    </row>
    <row r="265" spans="2:20" ht="13">
      <c r="B265" s="30"/>
      <c r="G265" s="30"/>
      <c r="H265" s="30"/>
      <c r="L265" s="30"/>
      <c r="P265" s="30"/>
      <c r="T265" s="30"/>
    </row>
    <row r="266" spans="2:20" ht="13">
      <c r="B266" s="30"/>
      <c r="G266" s="30"/>
      <c r="H266" s="30"/>
      <c r="L266" s="30"/>
      <c r="P266" s="30"/>
      <c r="T266" s="30"/>
    </row>
    <row r="267" spans="2:20" ht="13">
      <c r="B267" s="30"/>
      <c r="G267" s="30"/>
      <c r="H267" s="30"/>
      <c r="L267" s="30"/>
      <c r="P267" s="30"/>
      <c r="T267" s="30"/>
    </row>
    <row r="268" spans="2:20" ht="13">
      <c r="B268" s="30"/>
      <c r="G268" s="30"/>
      <c r="H268" s="30"/>
      <c r="L268" s="30"/>
      <c r="P268" s="30"/>
      <c r="T268" s="30"/>
    </row>
    <row r="269" spans="2:20" ht="13">
      <c r="B269" s="30"/>
      <c r="G269" s="30"/>
      <c r="H269" s="30"/>
      <c r="L269" s="30"/>
      <c r="P269" s="30"/>
      <c r="T269" s="30"/>
    </row>
    <row r="270" spans="2:20" ht="13">
      <c r="B270" s="30"/>
      <c r="G270" s="30"/>
      <c r="H270" s="30"/>
      <c r="L270" s="30"/>
      <c r="P270" s="30"/>
      <c r="T270" s="30"/>
    </row>
    <row r="271" spans="2:20" ht="13">
      <c r="B271" s="30"/>
      <c r="G271" s="30"/>
      <c r="H271" s="30"/>
      <c r="L271" s="30"/>
      <c r="P271" s="30"/>
      <c r="T271" s="30"/>
    </row>
    <row r="272" spans="2:20" ht="13">
      <c r="B272" s="30"/>
      <c r="G272" s="30"/>
      <c r="H272" s="30"/>
      <c r="L272" s="30"/>
      <c r="P272" s="30"/>
      <c r="T272" s="30"/>
    </row>
    <row r="273" spans="2:20" ht="13">
      <c r="B273" s="30"/>
      <c r="G273" s="30"/>
      <c r="H273" s="30"/>
      <c r="L273" s="30"/>
      <c r="P273" s="30"/>
      <c r="T273" s="30"/>
    </row>
    <row r="274" spans="2:20" ht="13">
      <c r="B274" s="30"/>
      <c r="G274" s="30"/>
      <c r="H274" s="30"/>
      <c r="L274" s="30"/>
      <c r="P274" s="30"/>
      <c r="T274" s="30"/>
    </row>
    <row r="275" spans="2:20" ht="13">
      <c r="B275" s="30"/>
      <c r="G275" s="30"/>
      <c r="H275" s="30"/>
      <c r="L275" s="30"/>
      <c r="P275" s="30"/>
      <c r="T275" s="30"/>
    </row>
    <row r="276" spans="2:20" ht="13">
      <c r="B276" s="30"/>
      <c r="G276" s="30"/>
      <c r="H276" s="30"/>
      <c r="L276" s="30"/>
      <c r="P276" s="30"/>
      <c r="T276" s="30"/>
    </row>
    <row r="277" spans="2:20" ht="13">
      <c r="B277" s="30"/>
      <c r="G277" s="30"/>
      <c r="H277" s="30"/>
      <c r="L277" s="30"/>
      <c r="P277" s="30"/>
      <c r="T277" s="30"/>
    </row>
    <row r="278" spans="2:20" ht="13">
      <c r="B278" s="30"/>
      <c r="G278" s="30"/>
      <c r="H278" s="30"/>
      <c r="L278" s="30"/>
      <c r="P278" s="30"/>
      <c r="T278" s="30"/>
    </row>
    <row r="279" spans="2:20" ht="13">
      <c r="B279" s="30"/>
      <c r="G279" s="30"/>
      <c r="H279" s="30"/>
      <c r="L279" s="30"/>
      <c r="P279" s="30"/>
      <c r="T279" s="30"/>
    </row>
    <row r="280" spans="2:20" ht="13">
      <c r="B280" s="30"/>
      <c r="G280" s="30"/>
      <c r="H280" s="30"/>
      <c r="L280" s="30"/>
      <c r="P280" s="30"/>
      <c r="T280" s="30"/>
    </row>
    <row r="281" spans="2:20" ht="13">
      <c r="B281" s="30"/>
      <c r="G281" s="30"/>
      <c r="H281" s="30"/>
      <c r="L281" s="30"/>
      <c r="P281" s="30"/>
      <c r="T281" s="30"/>
    </row>
    <row r="282" spans="2:20" ht="13">
      <c r="B282" s="30"/>
      <c r="G282" s="30"/>
      <c r="H282" s="30"/>
      <c r="L282" s="30"/>
      <c r="P282" s="30"/>
      <c r="T282" s="30"/>
    </row>
    <row r="283" spans="2:20" ht="13">
      <c r="B283" s="30"/>
      <c r="G283" s="30"/>
      <c r="H283" s="30"/>
      <c r="L283" s="30"/>
      <c r="P283" s="30"/>
      <c r="T283" s="30"/>
    </row>
    <row r="284" spans="2:20" ht="13">
      <c r="B284" s="30"/>
      <c r="G284" s="30"/>
      <c r="H284" s="30"/>
      <c r="L284" s="30"/>
      <c r="P284" s="30"/>
      <c r="T284" s="30"/>
    </row>
    <row r="285" spans="2:20" ht="13">
      <c r="B285" s="30"/>
      <c r="G285" s="30"/>
      <c r="H285" s="30"/>
      <c r="L285" s="30"/>
      <c r="P285" s="30"/>
      <c r="T285" s="30"/>
    </row>
    <row r="286" spans="2:20" ht="13">
      <c r="B286" s="30"/>
      <c r="G286" s="30"/>
      <c r="H286" s="30"/>
      <c r="L286" s="30"/>
      <c r="P286" s="30"/>
      <c r="T286" s="30"/>
    </row>
    <row r="287" spans="2:20" ht="13">
      <c r="B287" s="30"/>
      <c r="G287" s="30"/>
      <c r="H287" s="30"/>
      <c r="L287" s="30"/>
      <c r="P287" s="30"/>
      <c r="T287" s="30"/>
    </row>
    <row r="288" spans="2:20" ht="13">
      <c r="B288" s="30"/>
      <c r="G288" s="30"/>
      <c r="H288" s="30"/>
      <c r="L288" s="30"/>
      <c r="P288" s="30"/>
      <c r="T288" s="30"/>
    </row>
    <row r="289" spans="2:20" ht="13">
      <c r="B289" s="30"/>
      <c r="G289" s="30"/>
      <c r="H289" s="30"/>
      <c r="L289" s="30"/>
      <c r="P289" s="30"/>
      <c r="T289" s="30"/>
    </row>
    <row r="290" spans="2:20" ht="13">
      <c r="B290" s="30"/>
      <c r="G290" s="30"/>
      <c r="H290" s="30"/>
      <c r="L290" s="30"/>
      <c r="P290" s="30"/>
      <c r="T290" s="30"/>
    </row>
    <row r="291" spans="2:20" ht="13">
      <c r="B291" s="30"/>
      <c r="G291" s="30"/>
      <c r="H291" s="30"/>
      <c r="L291" s="30"/>
      <c r="P291" s="30"/>
      <c r="T291" s="30"/>
    </row>
    <row r="292" spans="2:20" ht="13">
      <c r="B292" s="30"/>
      <c r="G292" s="30"/>
      <c r="H292" s="30"/>
      <c r="L292" s="30"/>
      <c r="P292" s="30"/>
      <c r="T292" s="30"/>
    </row>
    <row r="293" spans="2:20" ht="13">
      <c r="B293" s="30"/>
      <c r="G293" s="30"/>
      <c r="H293" s="30"/>
      <c r="L293" s="30"/>
      <c r="P293" s="30"/>
      <c r="T293" s="30"/>
    </row>
    <row r="294" spans="2:20" ht="13">
      <c r="B294" s="30"/>
      <c r="G294" s="30"/>
      <c r="H294" s="30"/>
      <c r="L294" s="30"/>
      <c r="P294" s="30"/>
      <c r="T294" s="30"/>
    </row>
    <row r="295" spans="2:20" ht="13">
      <c r="B295" s="30"/>
      <c r="G295" s="30"/>
      <c r="H295" s="30"/>
      <c r="L295" s="30"/>
      <c r="P295" s="30"/>
      <c r="T295" s="30"/>
    </row>
    <row r="296" spans="2:20" ht="13">
      <c r="B296" s="30"/>
      <c r="G296" s="30"/>
      <c r="H296" s="30"/>
      <c r="L296" s="30"/>
      <c r="P296" s="30"/>
      <c r="T296" s="30"/>
    </row>
    <row r="297" spans="2:20" ht="13">
      <c r="B297" s="30"/>
      <c r="G297" s="30"/>
      <c r="H297" s="30"/>
      <c r="L297" s="30"/>
      <c r="P297" s="30"/>
      <c r="T297" s="30"/>
    </row>
    <row r="298" spans="2:20" ht="13">
      <c r="B298" s="30"/>
      <c r="G298" s="30"/>
      <c r="H298" s="30"/>
      <c r="L298" s="30"/>
      <c r="P298" s="30"/>
      <c r="T298" s="30"/>
    </row>
    <row r="299" spans="2:20" ht="13">
      <c r="B299" s="30"/>
      <c r="G299" s="30"/>
      <c r="H299" s="30"/>
      <c r="L299" s="30"/>
      <c r="P299" s="30"/>
      <c r="T299" s="30"/>
    </row>
    <row r="300" spans="2:20" ht="13">
      <c r="B300" s="30"/>
      <c r="G300" s="30"/>
      <c r="H300" s="30"/>
      <c r="L300" s="30"/>
      <c r="P300" s="30"/>
      <c r="T300" s="30"/>
    </row>
    <row r="301" spans="2:20" ht="13">
      <c r="B301" s="30"/>
      <c r="G301" s="30"/>
      <c r="H301" s="30"/>
      <c r="L301" s="30"/>
      <c r="P301" s="30"/>
      <c r="T301" s="30"/>
    </row>
    <row r="302" spans="2:20" ht="13">
      <c r="B302" s="30"/>
      <c r="G302" s="30"/>
      <c r="H302" s="30"/>
      <c r="L302" s="30"/>
      <c r="P302" s="30"/>
      <c r="T302" s="30"/>
    </row>
    <row r="303" spans="2:20" ht="13">
      <c r="B303" s="30"/>
      <c r="G303" s="30"/>
      <c r="H303" s="30"/>
      <c r="L303" s="30"/>
      <c r="P303" s="30"/>
      <c r="T303" s="30"/>
    </row>
    <row r="304" spans="2:20" ht="13">
      <c r="B304" s="30"/>
      <c r="G304" s="30"/>
      <c r="H304" s="30"/>
      <c r="L304" s="30"/>
      <c r="P304" s="30"/>
      <c r="T304" s="30"/>
    </row>
    <row r="305" spans="2:20" ht="13">
      <c r="B305" s="30"/>
      <c r="G305" s="30"/>
      <c r="H305" s="30"/>
      <c r="L305" s="30"/>
      <c r="P305" s="30"/>
      <c r="T305" s="30"/>
    </row>
    <row r="306" spans="2:20" ht="13">
      <c r="B306" s="30"/>
      <c r="G306" s="30"/>
      <c r="H306" s="30"/>
      <c r="L306" s="30"/>
      <c r="P306" s="30"/>
      <c r="T306" s="30"/>
    </row>
    <row r="307" spans="2:20" ht="13">
      <c r="B307" s="30"/>
      <c r="G307" s="30"/>
      <c r="H307" s="30"/>
      <c r="L307" s="30"/>
      <c r="P307" s="30"/>
      <c r="T307" s="30"/>
    </row>
    <row r="308" spans="2:20" ht="13">
      <c r="B308" s="30"/>
      <c r="G308" s="30"/>
      <c r="H308" s="30"/>
      <c r="L308" s="30"/>
      <c r="P308" s="30"/>
      <c r="T308" s="30"/>
    </row>
    <row r="309" spans="2:20" ht="13">
      <c r="B309" s="30"/>
      <c r="G309" s="30"/>
      <c r="H309" s="30"/>
      <c r="L309" s="30"/>
      <c r="P309" s="30"/>
      <c r="T309" s="30"/>
    </row>
    <row r="310" spans="2:20" ht="13">
      <c r="B310" s="30"/>
      <c r="G310" s="30"/>
      <c r="H310" s="30"/>
      <c r="L310" s="30"/>
      <c r="P310" s="30"/>
      <c r="T310" s="30"/>
    </row>
    <row r="311" spans="2:20" ht="13">
      <c r="B311" s="30"/>
      <c r="G311" s="30"/>
      <c r="H311" s="30"/>
      <c r="L311" s="30"/>
      <c r="P311" s="30"/>
      <c r="T311" s="30"/>
    </row>
    <row r="312" spans="2:20" ht="13">
      <c r="B312" s="30"/>
      <c r="G312" s="30"/>
      <c r="H312" s="30"/>
      <c r="L312" s="30"/>
      <c r="P312" s="30"/>
      <c r="T312" s="30"/>
    </row>
    <row r="313" spans="2:20" ht="13">
      <c r="B313" s="30"/>
      <c r="G313" s="30"/>
      <c r="H313" s="30"/>
      <c r="L313" s="30"/>
      <c r="P313" s="30"/>
      <c r="T313" s="30"/>
    </row>
    <row r="314" spans="2:20" ht="13">
      <c r="B314" s="30"/>
      <c r="G314" s="30"/>
      <c r="H314" s="30"/>
      <c r="L314" s="30"/>
      <c r="P314" s="30"/>
      <c r="T314" s="30"/>
    </row>
    <row r="315" spans="2:20" ht="13">
      <c r="B315" s="30"/>
      <c r="G315" s="30"/>
      <c r="H315" s="30"/>
      <c r="L315" s="30"/>
      <c r="P315" s="30"/>
      <c r="T315" s="30"/>
    </row>
    <row r="316" spans="2:20" ht="13">
      <c r="B316" s="30"/>
      <c r="G316" s="30"/>
      <c r="H316" s="30"/>
      <c r="L316" s="30"/>
      <c r="P316" s="30"/>
      <c r="T316" s="30"/>
    </row>
    <row r="317" spans="2:20" ht="13">
      <c r="B317" s="30"/>
      <c r="G317" s="30"/>
      <c r="H317" s="30"/>
      <c r="L317" s="30"/>
      <c r="P317" s="30"/>
      <c r="T317" s="30"/>
    </row>
    <row r="318" spans="2:20" ht="13">
      <c r="B318" s="30"/>
      <c r="G318" s="30"/>
      <c r="H318" s="30"/>
      <c r="L318" s="30"/>
      <c r="P318" s="30"/>
      <c r="T318" s="30"/>
    </row>
    <row r="319" spans="2:20" ht="13">
      <c r="B319" s="30"/>
      <c r="G319" s="30"/>
      <c r="H319" s="30"/>
      <c r="L319" s="30"/>
      <c r="P319" s="30"/>
      <c r="T319" s="30"/>
    </row>
    <row r="320" spans="2:20" ht="13">
      <c r="B320" s="30"/>
      <c r="G320" s="30"/>
      <c r="H320" s="30"/>
      <c r="L320" s="30"/>
      <c r="P320" s="30"/>
      <c r="T320" s="30"/>
    </row>
    <row r="321" spans="2:20" ht="13">
      <c r="B321" s="30"/>
      <c r="G321" s="30"/>
      <c r="H321" s="30"/>
      <c r="L321" s="30"/>
      <c r="P321" s="30"/>
      <c r="T321" s="30"/>
    </row>
    <row r="322" spans="2:20" ht="13">
      <c r="B322" s="30"/>
      <c r="G322" s="30"/>
      <c r="H322" s="30"/>
      <c r="L322" s="30"/>
      <c r="P322" s="30"/>
      <c r="T322" s="30"/>
    </row>
    <row r="323" spans="2:20" ht="13">
      <c r="B323" s="30"/>
      <c r="G323" s="30"/>
      <c r="H323" s="30"/>
      <c r="L323" s="30"/>
      <c r="P323" s="30"/>
      <c r="T323" s="30"/>
    </row>
    <row r="324" spans="2:20" ht="13">
      <c r="B324" s="30"/>
      <c r="G324" s="30"/>
      <c r="H324" s="30"/>
      <c r="L324" s="30"/>
      <c r="P324" s="30"/>
      <c r="T324" s="30"/>
    </row>
    <row r="325" spans="2:20" ht="13">
      <c r="B325" s="30"/>
      <c r="G325" s="30"/>
      <c r="H325" s="30"/>
      <c r="L325" s="30"/>
      <c r="P325" s="30"/>
      <c r="T325" s="30"/>
    </row>
    <row r="326" spans="2:20" ht="13">
      <c r="B326" s="30"/>
      <c r="G326" s="30"/>
      <c r="H326" s="30"/>
      <c r="L326" s="30"/>
      <c r="P326" s="30"/>
      <c r="T326" s="30"/>
    </row>
    <row r="327" spans="2:20" ht="13">
      <c r="B327" s="30"/>
      <c r="G327" s="30"/>
      <c r="H327" s="30"/>
      <c r="L327" s="30"/>
      <c r="P327" s="30"/>
      <c r="T327" s="30"/>
    </row>
    <row r="328" spans="2:20" ht="13">
      <c r="B328" s="30"/>
      <c r="G328" s="30"/>
      <c r="H328" s="30"/>
      <c r="L328" s="30"/>
      <c r="P328" s="30"/>
      <c r="T328" s="30"/>
    </row>
    <row r="329" spans="2:20" ht="13">
      <c r="B329" s="30"/>
      <c r="G329" s="30"/>
      <c r="H329" s="30"/>
      <c r="L329" s="30"/>
      <c r="P329" s="30"/>
      <c r="T329" s="30"/>
    </row>
    <row r="330" spans="2:20" ht="13">
      <c r="B330" s="30"/>
      <c r="G330" s="30"/>
      <c r="H330" s="30"/>
      <c r="L330" s="30"/>
      <c r="P330" s="30"/>
      <c r="T330" s="30"/>
    </row>
    <row r="331" spans="2:20" ht="13">
      <c r="B331" s="30"/>
      <c r="G331" s="30"/>
      <c r="H331" s="30"/>
      <c r="L331" s="30"/>
      <c r="P331" s="30"/>
      <c r="T331" s="30"/>
    </row>
    <row r="332" spans="2:20" ht="13">
      <c r="B332" s="30"/>
      <c r="G332" s="30"/>
      <c r="H332" s="30"/>
      <c r="L332" s="30"/>
      <c r="P332" s="30"/>
      <c r="T332" s="30"/>
    </row>
    <row r="333" spans="2:20" ht="13">
      <c r="B333" s="30"/>
      <c r="G333" s="30"/>
      <c r="H333" s="30"/>
      <c r="L333" s="30"/>
      <c r="P333" s="30"/>
      <c r="T333" s="30"/>
    </row>
    <row r="334" spans="2:20" ht="13">
      <c r="B334" s="30"/>
      <c r="G334" s="30"/>
      <c r="H334" s="30"/>
      <c r="L334" s="30"/>
      <c r="P334" s="30"/>
      <c r="T334" s="30"/>
    </row>
    <row r="335" spans="2:20" ht="13">
      <c r="B335" s="30"/>
      <c r="G335" s="30"/>
      <c r="H335" s="30"/>
      <c r="L335" s="30"/>
      <c r="P335" s="30"/>
      <c r="T335" s="30"/>
    </row>
    <row r="336" spans="2:20" ht="13">
      <c r="B336" s="30"/>
      <c r="G336" s="30"/>
      <c r="H336" s="30"/>
      <c r="L336" s="30"/>
      <c r="P336" s="30"/>
      <c r="T336" s="30"/>
    </row>
    <row r="337" spans="2:20" ht="13">
      <c r="B337" s="30"/>
      <c r="G337" s="30"/>
      <c r="H337" s="30"/>
      <c r="L337" s="30"/>
      <c r="P337" s="30"/>
      <c r="T337" s="30"/>
    </row>
    <row r="338" spans="2:20" ht="13">
      <c r="B338" s="30"/>
      <c r="G338" s="30"/>
      <c r="H338" s="30"/>
      <c r="L338" s="30"/>
      <c r="P338" s="30"/>
      <c r="T338" s="30"/>
    </row>
    <row r="339" spans="2:20" ht="13">
      <c r="B339" s="30"/>
      <c r="G339" s="30"/>
      <c r="H339" s="30"/>
      <c r="L339" s="30"/>
      <c r="P339" s="30"/>
      <c r="T339" s="30"/>
    </row>
    <row r="340" spans="2:20" ht="13">
      <c r="B340" s="30"/>
      <c r="G340" s="30"/>
      <c r="H340" s="30"/>
      <c r="L340" s="30"/>
      <c r="P340" s="30"/>
      <c r="T340" s="30"/>
    </row>
    <row r="341" spans="2:20" ht="13">
      <c r="B341" s="30"/>
      <c r="G341" s="30"/>
      <c r="H341" s="30"/>
      <c r="L341" s="30"/>
      <c r="P341" s="30"/>
      <c r="T341" s="30"/>
    </row>
    <row r="342" spans="2:20" ht="13">
      <c r="B342" s="30"/>
      <c r="G342" s="30"/>
      <c r="H342" s="30"/>
      <c r="L342" s="30"/>
      <c r="P342" s="30"/>
      <c r="T342" s="30"/>
    </row>
    <row r="343" spans="2:20" ht="13">
      <c r="B343" s="30"/>
      <c r="G343" s="30"/>
      <c r="H343" s="30"/>
      <c r="L343" s="30"/>
      <c r="P343" s="30"/>
      <c r="T343" s="30"/>
    </row>
    <row r="344" spans="2:20" ht="13">
      <c r="B344" s="30"/>
      <c r="G344" s="30"/>
      <c r="H344" s="30"/>
      <c r="L344" s="30"/>
      <c r="P344" s="30"/>
      <c r="T344" s="30"/>
    </row>
    <row r="345" spans="2:20" ht="13">
      <c r="B345" s="30"/>
      <c r="G345" s="30"/>
      <c r="H345" s="30"/>
      <c r="L345" s="30"/>
      <c r="P345" s="30"/>
      <c r="T345" s="30"/>
    </row>
    <row r="346" spans="2:20" ht="13">
      <c r="B346" s="30"/>
      <c r="G346" s="30"/>
      <c r="H346" s="30"/>
      <c r="L346" s="30"/>
      <c r="P346" s="30"/>
      <c r="T346" s="30"/>
    </row>
    <row r="347" spans="2:20" ht="13">
      <c r="B347" s="30"/>
      <c r="G347" s="30"/>
      <c r="H347" s="30"/>
      <c r="L347" s="30"/>
      <c r="P347" s="30"/>
      <c r="T347" s="30"/>
    </row>
    <row r="348" spans="2:20" ht="13">
      <c r="B348" s="30"/>
      <c r="G348" s="30"/>
      <c r="H348" s="30"/>
      <c r="L348" s="30"/>
      <c r="P348" s="30"/>
      <c r="T348" s="30"/>
    </row>
    <row r="349" spans="2:20" ht="13">
      <c r="B349" s="30"/>
      <c r="G349" s="30"/>
      <c r="H349" s="30"/>
      <c r="L349" s="30"/>
      <c r="P349" s="30"/>
      <c r="T349" s="30"/>
    </row>
    <row r="350" spans="2:20" ht="13">
      <c r="B350" s="30"/>
      <c r="G350" s="30"/>
      <c r="H350" s="30"/>
      <c r="L350" s="30"/>
      <c r="P350" s="30"/>
      <c r="T350" s="30"/>
    </row>
    <row r="351" spans="2:20" ht="13">
      <c r="B351" s="30"/>
      <c r="G351" s="30"/>
      <c r="H351" s="30"/>
      <c r="L351" s="30"/>
      <c r="P351" s="30"/>
      <c r="T351" s="30"/>
    </row>
    <row r="352" spans="2:20" ht="13">
      <c r="B352" s="30"/>
      <c r="G352" s="30"/>
      <c r="H352" s="30"/>
      <c r="L352" s="30"/>
      <c r="P352" s="30"/>
      <c r="T352" s="30"/>
    </row>
    <row r="353" spans="2:20" ht="13">
      <c r="B353" s="30"/>
      <c r="G353" s="30"/>
      <c r="H353" s="30"/>
      <c r="L353" s="30"/>
      <c r="P353" s="30"/>
      <c r="T353" s="30"/>
    </row>
    <row r="354" spans="2:20" ht="13">
      <c r="B354" s="30"/>
      <c r="G354" s="30"/>
      <c r="H354" s="30"/>
      <c r="L354" s="30"/>
      <c r="P354" s="30"/>
      <c r="T354" s="30"/>
    </row>
    <row r="355" spans="2:20" ht="13">
      <c r="B355" s="30"/>
      <c r="G355" s="30"/>
      <c r="H355" s="30"/>
      <c r="L355" s="30"/>
      <c r="P355" s="30"/>
      <c r="T355" s="30"/>
    </row>
    <row r="356" spans="2:20" ht="13">
      <c r="B356" s="30"/>
      <c r="G356" s="30"/>
      <c r="H356" s="30"/>
      <c r="L356" s="30"/>
      <c r="P356" s="30"/>
      <c r="T356" s="30"/>
    </row>
    <row r="357" spans="2:20" ht="13">
      <c r="B357" s="30"/>
      <c r="G357" s="30"/>
      <c r="H357" s="30"/>
      <c r="L357" s="30"/>
      <c r="P357" s="30"/>
      <c r="T357" s="30"/>
    </row>
    <row r="358" spans="2:20" ht="13">
      <c r="B358" s="30"/>
      <c r="G358" s="30"/>
      <c r="H358" s="30"/>
      <c r="L358" s="30"/>
      <c r="P358" s="30"/>
      <c r="T358" s="30"/>
    </row>
    <row r="359" spans="2:20" ht="13">
      <c r="B359" s="30"/>
      <c r="G359" s="30"/>
      <c r="H359" s="30"/>
      <c r="L359" s="30"/>
      <c r="P359" s="30"/>
      <c r="T359" s="30"/>
    </row>
    <row r="360" spans="2:20" ht="13">
      <c r="B360" s="30"/>
      <c r="G360" s="30"/>
      <c r="H360" s="30"/>
      <c r="L360" s="30"/>
      <c r="P360" s="30"/>
      <c r="T360" s="30"/>
    </row>
    <row r="361" spans="2:20" ht="13">
      <c r="B361" s="30"/>
      <c r="G361" s="30"/>
      <c r="H361" s="30"/>
      <c r="L361" s="30"/>
      <c r="P361" s="30"/>
      <c r="T361" s="30"/>
    </row>
    <row r="362" spans="2:20" ht="13">
      <c r="B362" s="30"/>
      <c r="G362" s="30"/>
      <c r="H362" s="30"/>
      <c r="L362" s="30"/>
      <c r="P362" s="30"/>
      <c r="T362" s="30"/>
    </row>
    <row r="363" spans="2:20" ht="13">
      <c r="B363" s="30"/>
      <c r="G363" s="30"/>
      <c r="H363" s="30"/>
      <c r="L363" s="30"/>
      <c r="P363" s="30"/>
      <c r="T363" s="30"/>
    </row>
    <row r="364" spans="2:20" ht="13">
      <c r="B364" s="30"/>
      <c r="G364" s="30"/>
      <c r="H364" s="30"/>
      <c r="L364" s="30"/>
      <c r="P364" s="30"/>
      <c r="T364" s="30"/>
    </row>
    <row r="365" spans="2:20" ht="13">
      <c r="B365" s="30"/>
      <c r="G365" s="30"/>
      <c r="H365" s="30"/>
      <c r="L365" s="30"/>
      <c r="P365" s="30"/>
      <c r="T365" s="30"/>
    </row>
    <row r="366" spans="2:20" ht="13">
      <c r="B366" s="30"/>
      <c r="G366" s="30"/>
      <c r="H366" s="30"/>
      <c r="L366" s="30"/>
      <c r="P366" s="30"/>
      <c r="T366" s="30"/>
    </row>
    <row r="367" spans="2:20" ht="13">
      <c r="B367" s="30"/>
      <c r="G367" s="30"/>
      <c r="H367" s="30"/>
      <c r="L367" s="30"/>
      <c r="P367" s="30"/>
      <c r="T367" s="30"/>
    </row>
    <row r="368" spans="2:20" ht="13">
      <c r="B368" s="30"/>
      <c r="G368" s="30"/>
      <c r="H368" s="30"/>
      <c r="L368" s="30"/>
      <c r="P368" s="30"/>
      <c r="T368" s="30"/>
    </row>
    <row r="369" spans="2:20" ht="13">
      <c r="B369" s="30"/>
      <c r="G369" s="30"/>
      <c r="H369" s="30"/>
      <c r="L369" s="30"/>
      <c r="P369" s="30"/>
      <c r="T369" s="30"/>
    </row>
    <row r="370" spans="2:20" ht="13">
      <c r="B370" s="30"/>
      <c r="G370" s="30"/>
      <c r="H370" s="30"/>
      <c r="L370" s="30"/>
      <c r="P370" s="30"/>
      <c r="T370" s="30"/>
    </row>
    <row r="371" spans="2:20" ht="13">
      <c r="B371" s="30"/>
      <c r="G371" s="30"/>
      <c r="H371" s="30"/>
      <c r="L371" s="30"/>
      <c r="P371" s="30"/>
      <c r="T371" s="30"/>
    </row>
    <row r="372" spans="2:20" ht="13">
      <c r="B372" s="30"/>
      <c r="G372" s="30"/>
      <c r="H372" s="30"/>
      <c r="L372" s="30"/>
      <c r="P372" s="30"/>
      <c r="T372" s="30"/>
    </row>
    <row r="373" spans="2:20" ht="13">
      <c r="B373" s="30"/>
      <c r="G373" s="30"/>
      <c r="H373" s="30"/>
      <c r="L373" s="30"/>
      <c r="P373" s="30"/>
      <c r="T373" s="30"/>
    </row>
    <row r="374" spans="2:20" ht="13">
      <c r="B374" s="30"/>
      <c r="G374" s="30"/>
      <c r="H374" s="30"/>
      <c r="L374" s="30"/>
      <c r="P374" s="30"/>
      <c r="T374" s="30"/>
    </row>
    <row r="375" spans="2:20" ht="13">
      <c r="B375" s="30"/>
      <c r="G375" s="30"/>
      <c r="H375" s="30"/>
      <c r="L375" s="30"/>
      <c r="P375" s="30"/>
      <c r="T375" s="30"/>
    </row>
    <row r="376" spans="2:20" ht="13">
      <c r="B376" s="30"/>
      <c r="G376" s="30"/>
      <c r="H376" s="30"/>
      <c r="L376" s="30"/>
      <c r="P376" s="30"/>
      <c r="T376" s="30"/>
    </row>
    <row r="377" spans="2:20" ht="13">
      <c r="B377" s="30"/>
      <c r="G377" s="30"/>
      <c r="H377" s="30"/>
      <c r="L377" s="30"/>
      <c r="P377" s="30"/>
      <c r="T377" s="30"/>
    </row>
    <row r="378" spans="2:20" ht="13">
      <c r="B378" s="30"/>
      <c r="G378" s="30"/>
      <c r="H378" s="30"/>
      <c r="L378" s="30"/>
      <c r="P378" s="30"/>
      <c r="T378" s="30"/>
    </row>
    <row r="379" spans="2:20" ht="13">
      <c r="B379" s="30"/>
      <c r="G379" s="30"/>
      <c r="H379" s="30"/>
      <c r="L379" s="30"/>
      <c r="P379" s="30"/>
      <c r="T379" s="30"/>
    </row>
    <row r="380" spans="2:20" ht="13">
      <c r="B380" s="30"/>
      <c r="G380" s="30"/>
      <c r="H380" s="30"/>
      <c r="L380" s="30"/>
      <c r="P380" s="30"/>
      <c r="T380" s="30"/>
    </row>
    <row r="381" spans="2:20" ht="13">
      <c r="B381" s="30"/>
      <c r="G381" s="30"/>
      <c r="H381" s="30"/>
      <c r="L381" s="30"/>
      <c r="P381" s="30"/>
      <c r="T381" s="30"/>
    </row>
    <row r="382" spans="2:20" ht="13">
      <c r="B382" s="30"/>
      <c r="G382" s="30"/>
      <c r="H382" s="30"/>
      <c r="L382" s="30"/>
      <c r="P382" s="30"/>
      <c r="T382" s="30"/>
    </row>
    <row r="383" spans="2:20" ht="13">
      <c r="B383" s="30"/>
      <c r="G383" s="30"/>
      <c r="H383" s="30"/>
      <c r="L383" s="30"/>
      <c r="P383" s="30"/>
      <c r="T383" s="30"/>
    </row>
    <row r="384" spans="2:20" ht="13">
      <c r="B384" s="30"/>
      <c r="G384" s="30"/>
      <c r="H384" s="30"/>
      <c r="L384" s="30"/>
      <c r="P384" s="30"/>
      <c r="T384" s="30"/>
    </row>
    <row r="385" spans="2:20" ht="13">
      <c r="B385" s="30"/>
      <c r="G385" s="30"/>
      <c r="H385" s="30"/>
      <c r="L385" s="30"/>
      <c r="P385" s="30"/>
      <c r="T385" s="30"/>
    </row>
    <row r="386" spans="2:20" ht="13">
      <c r="B386" s="30"/>
      <c r="G386" s="30"/>
      <c r="H386" s="30"/>
      <c r="L386" s="30"/>
      <c r="P386" s="30"/>
      <c r="T386" s="30"/>
    </row>
    <row r="387" spans="2:20" ht="13">
      <c r="B387" s="30"/>
      <c r="G387" s="30"/>
      <c r="H387" s="30"/>
      <c r="L387" s="30"/>
      <c r="P387" s="30"/>
      <c r="T387" s="30"/>
    </row>
    <row r="388" spans="2:20" ht="13">
      <c r="B388" s="30"/>
      <c r="G388" s="30"/>
      <c r="H388" s="30"/>
      <c r="L388" s="30"/>
      <c r="P388" s="30"/>
      <c r="T388" s="30"/>
    </row>
    <row r="389" spans="2:20" ht="13">
      <c r="B389" s="30"/>
      <c r="G389" s="30"/>
      <c r="H389" s="30"/>
      <c r="L389" s="30"/>
      <c r="P389" s="30"/>
      <c r="T389" s="30"/>
    </row>
    <row r="390" spans="2:20" ht="13">
      <c r="B390" s="30"/>
      <c r="G390" s="30"/>
      <c r="H390" s="30"/>
      <c r="L390" s="30"/>
      <c r="P390" s="30"/>
      <c r="T390" s="30"/>
    </row>
    <row r="391" spans="2:20" ht="13">
      <c r="B391" s="30"/>
      <c r="G391" s="30"/>
      <c r="H391" s="30"/>
      <c r="L391" s="30"/>
      <c r="P391" s="30"/>
      <c r="T391" s="30"/>
    </row>
    <row r="392" spans="2:20" ht="13">
      <c r="B392" s="30"/>
      <c r="G392" s="30"/>
      <c r="H392" s="30"/>
      <c r="L392" s="30"/>
      <c r="P392" s="30"/>
      <c r="T392" s="30"/>
    </row>
    <row r="393" spans="2:20" ht="13">
      <c r="B393" s="30"/>
      <c r="G393" s="30"/>
      <c r="H393" s="30"/>
      <c r="L393" s="30"/>
      <c r="P393" s="30"/>
      <c r="T393" s="30"/>
    </row>
    <row r="394" spans="2:20" ht="13">
      <c r="B394" s="30"/>
      <c r="G394" s="30"/>
      <c r="H394" s="30"/>
      <c r="L394" s="30"/>
      <c r="P394" s="30"/>
      <c r="T394" s="30"/>
    </row>
    <row r="395" spans="2:20" ht="13">
      <c r="B395" s="30"/>
      <c r="G395" s="30"/>
      <c r="H395" s="30"/>
      <c r="L395" s="30"/>
      <c r="P395" s="30"/>
      <c r="T395" s="30"/>
    </row>
    <row r="396" spans="2:20" ht="13">
      <c r="B396" s="30"/>
      <c r="G396" s="30"/>
      <c r="H396" s="30"/>
      <c r="L396" s="30"/>
      <c r="P396" s="30"/>
      <c r="T396" s="30"/>
    </row>
    <row r="397" spans="2:20" ht="13">
      <c r="B397" s="30"/>
      <c r="G397" s="30"/>
      <c r="H397" s="30"/>
      <c r="L397" s="30"/>
      <c r="P397" s="30"/>
      <c r="T397" s="30"/>
    </row>
    <row r="398" spans="2:20" ht="13">
      <c r="B398" s="30"/>
      <c r="G398" s="30"/>
      <c r="H398" s="30"/>
      <c r="L398" s="30"/>
      <c r="P398" s="30"/>
      <c r="T398" s="30"/>
    </row>
    <row r="399" spans="2:20" ht="13">
      <c r="B399" s="30"/>
      <c r="G399" s="30"/>
      <c r="H399" s="30"/>
      <c r="L399" s="30"/>
      <c r="P399" s="30"/>
      <c r="T399" s="30"/>
    </row>
    <row r="400" spans="2:20" ht="13">
      <c r="B400" s="30"/>
      <c r="G400" s="30"/>
      <c r="H400" s="30"/>
      <c r="L400" s="30"/>
      <c r="P400" s="30"/>
      <c r="T400" s="30"/>
    </row>
    <row r="401" spans="2:20" ht="13">
      <c r="B401" s="30"/>
      <c r="G401" s="30"/>
      <c r="H401" s="30"/>
      <c r="L401" s="30"/>
      <c r="P401" s="30"/>
      <c r="T401" s="30"/>
    </row>
    <row r="402" spans="2:20" ht="13">
      <c r="B402" s="30"/>
      <c r="G402" s="30"/>
      <c r="H402" s="30"/>
      <c r="L402" s="30"/>
      <c r="P402" s="30"/>
      <c r="T402" s="30"/>
    </row>
    <row r="403" spans="2:20" ht="13">
      <c r="B403" s="30"/>
      <c r="G403" s="30"/>
      <c r="H403" s="30"/>
      <c r="L403" s="30"/>
      <c r="P403" s="30"/>
      <c r="T403" s="30"/>
    </row>
    <row r="404" spans="2:20" ht="13">
      <c r="B404" s="30"/>
      <c r="G404" s="30"/>
      <c r="H404" s="30"/>
      <c r="L404" s="30"/>
      <c r="P404" s="30"/>
      <c r="T404" s="30"/>
    </row>
    <row r="405" spans="2:20" ht="13">
      <c r="B405" s="30"/>
      <c r="G405" s="30"/>
      <c r="H405" s="30"/>
      <c r="L405" s="30"/>
      <c r="P405" s="30"/>
      <c r="T405" s="30"/>
    </row>
    <row r="406" spans="2:20" ht="13">
      <c r="B406" s="30"/>
      <c r="G406" s="30"/>
      <c r="H406" s="30"/>
      <c r="L406" s="30"/>
      <c r="P406" s="30"/>
      <c r="T406" s="30"/>
    </row>
    <row r="407" spans="2:20" ht="13">
      <c r="B407" s="30"/>
      <c r="G407" s="30"/>
      <c r="H407" s="30"/>
      <c r="L407" s="30"/>
      <c r="P407" s="30"/>
      <c r="T407" s="30"/>
    </row>
    <row r="408" spans="2:20" ht="13">
      <c r="B408" s="30"/>
      <c r="G408" s="30"/>
      <c r="H408" s="30"/>
      <c r="L408" s="30"/>
      <c r="P408" s="30"/>
      <c r="T408" s="30"/>
    </row>
    <row r="409" spans="2:20" ht="13">
      <c r="B409" s="30"/>
      <c r="G409" s="30"/>
      <c r="H409" s="30"/>
      <c r="L409" s="30"/>
      <c r="P409" s="30"/>
      <c r="T409" s="30"/>
    </row>
    <row r="410" spans="2:20" ht="13">
      <c r="B410" s="30"/>
      <c r="G410" s="30"/>
      <c r="H410" s="30"/>
      <c r="L410" s="30"/>
      <c r="P410" s="30"/>
      <c r="T410" s="30"/>
    </row>
    <row r="411" spans="2:20" ht="13">
      <c r="B411" s="30"/>
      <c r="G411" s="30"/>
      <c r="H411" s="30"/>
      <c r="L411" s="30"/>
      <c r="P411" s="30"/>
      <c r="T411" s="30"/>
    </row>
    <row r="412" spans="2:20" ht="13">
      <c r="B412" s="30"/>
      <c r="G412" s="30"/>
      <c r="H412" s="30"/>
      <c r="L412" s="30"/>
      <c r="P412" s="30"/>
      <c r="T412" s="30"/>
    </row>
    <row r="413" spans="2:20" ht="13">
      <c r="B413" s="30"/>
      <c r="G413" s="30"/>
      <c r="H413" s="30"/>
      <c r="L413" s="30"/>
      <c r="P413" s="30"/>
      <c r="T413" s="30"/>
    </row>
    <row r="414" spans="2:20" ht="13">
      <c r="B414" s="30"/>
      <c r="G414" s="30"/>
      <c r="H414" s="30"/>
      <c r="L414" s="30"/>
      <c r="P414" s="30"/>
      <c r="T414" s="30"/>
    </row>
    <row r="415" spans="2:20" ht="13">
      <c r="B415" s="30"/>
      <c r="G415" s="30"/>
      <c r="H415" s="30"/>
      <c r="L415" s="30"/>
      <c r="P415" s="30"/>
      <c r="T415" s="30"/>
    </row>
    <row r="416" spans="2:20" ht="13">
      <c r="B416" s="30"/>
      <c r="G416" s="30"/>
      <c r="H416" s="30"/>
      <c r="L416" s="30"/>
      <c r="P416" s="30"/>
      <c r="T416" s="30"/>
    </row>
    <row r="417" spans="2:20" ht="13">
      <c r="B417" s="30"/>
      <c r="G417" s="30"/>
      <c r="H417" s="30"/>
      <c r="L417" s="30"/>
      <c r="P417" s="30"/>
      <c r="T417" s="30"/>
    </row>
    <row r="418" spans="2:20" ht="13">
      <c r="B418" s="30"/>
      <c r="G418" s="30"/>
      <c r="H418" s="30"/>
      <c r="L418" s="30"/>
      <c r="P418" s="30"/>
      <c r="T418" s="30"/>
    </row>
    <row r="419" spans="2:20" ht="13">
      <c r="B419" s="30"/>
      <c r="G419" s="30"/>
      <c r="H419" s="30"/>
      <c r="L419" s="30"/>
      <c r="P419" s="30"/>
      <c r="T419" s="30"/>
    </row>
    <row r="420" spans="2:20" ht="13">
      <c r="B420" s="30"/>
      <c r="G420" s="30"/>
      <c r="H420" s="30"/>
      <c r="L420" s="30"/>
      <c r="P420" s="30"/>
      <c r="T420" s="30"/>
    </row>
    <row r="421" spans="2:20" ht="13">
      <c r="B421" s="30"/>
      <c r="G421" s="30"/>
      <c r="H421" s="30"/>
      <c r="L421" s="30"/>
      <c r="P421" s="30"/>
      <c r="T421" s="30"/>
    </row>
    <row r="422" spans="2:20" ht="13">
      <c r="B422" s="30"/>
      <c r="G422" s="30"/>
      <c r="H422" s="30"/>
      <c r="L422" s="30"/>
      <c r="P422" s="30"/>
      <c r="T422" s="30"/>
    </row>
    <row r="423" spans="2:20" ht="13">
      <c r="B423" s="30"/>
      <c r="G423" s="30"/>
      <c r="H423" s="30"/>
      <c r="L423" s="30"/>
      <c r="P423" s="30"/>
      <c r="T423" s="30"/>
    </row>
    <row r="424" spans="2:20" ht="13">
      <c r="B424" s="30"/>
      <c r="G424" s="30"/>
      <c r="H424" s="30"/>
      <c r="L424" s="30"/>
      <c r="P424" s="30"/>
      <c r="T424" s="30"/>
    </row>
    <row r="425" spans="2:20" ht="13">
      <c r="B425" s="30"/>
      <c r="G425" s="30"/>
      <c r="H425" s="30"/>
      <c r="L425" s="30"/>
      <c r="P425" s="30"/>
      <c r="T425" s="30"/>
    </row>
    <row r="426" spans="2:20" ht="13">
      <c r="B426" s="30"/>
      <c r="G426" s="30"/>
      <c r="H426" s="30"/>
      <c r="L426" s="30"/>
      <c r="P426" s="30"/>
      <c r="T426" s="30"/>
    </row>
    <row r="427" spans="2:20" ht="13">
      <c r="B427" s="30"/>
      <c r="G427" s="30"/>
      <c r="H427" s="30"/>
      <c r="L427" s="30"/>
      <c r="P427" s="30"/>
      <c r="T427" s="30"/>
    </row>
    <row r="428" spans="2:20" ht="13">
      <c r="B428" s="30"/>
      <c r="G428" s="30"/>
      <c r="H428" s="30"/>
      <c r="L428" s="30"/>
      <c r="P428" s="30"/>
      <c r="T428" s="30"/>
    </row>
    <row r="429" spans="2:20" ht="13">
      <c r="B429" s="30"/>
      <c r="G429" s="30"/>
      <c r="H429" s="30"/>
      <c r="L429" s="30"/>
      <c r="P429" s="30"/>
      <c r="T429" s="30"/>
    </row>
    <row r="430" spans="2:20" ht="13">
      <c r="B430" s="30"/>
      <c r="G430" s="30"/>
      <c r="H430" s="30"/>
      <c r="L430" s="30"/>
      <c r="P430" s="30"/>
      <c r="T430" s="30"/>
    </row>
    <row r="431" spans="2:20" ht="13">
      <c r="B431" s="30"/>
      <c r="G431" s="30"/>
      <c r="H431" s="30"/>
      <c r="L431" s="30"/>
      <c r="P431" s="30"/>
      <c r="T431" s="30"/>
    </row>
    <row r="432" spans="2:20" ht="13">
      <c r="B432" s="30"/>
      <c r="G432" s="30"/>
      <c r="H432" s="30"/>
      <c r="L432" s="30"/>
      <c r="P432" s="30"/>
      <c r="T432" s="30"/>
    </row>
    <row r="433" spans="2:20" ht="13">
      <c r="B433" s="30"/>
      <c r="G433" s="30"/>
      <c r="H433" s="30"/>
      <c r="L433" s="30"/>
      <c r="P433" s="30"/>
      <c r="T433" s="30"/>
    </row>
    <row r="434" spans="2:20" ht="13">
      <c r="B434" s="30"/>
      <c r="G434" s="30"/>
      <c r="H434" s="30"/>
      <c r="L434" s="30"/>
      <c r="P434" s="30"/>
      <c r="T434" s="30"/>
    </row>
    <row r="435" spans="2:20" ht="13">
      <c r="B435" s="30"/>
      <c r="G435" s="30"/>
      <c r="H435" s="30"/>
      <c r="L435" s="30"/>
      <c r="P435" s="30"/>
      <c r="T435" s="30"/>
    </row>
    <row r="436" spans="2:20" ht="13">
      <c r="B436" s="30"/>
      <c r="G436" s="30"/>
      <c r="H436" s="30"/>
      <c r="L436" s="30"/>
      <c r="P436" s="30"/>
      <c r="T436" s="30"/>
    </row>
    <row r="437" spans="2:20" ht="13">
      <c r="B437" s="30"/>
      <c r="G437" s="30"/>
      <c r="H437" s="30"/>
      <c r="L437" s="30"/>
      <c r="P437" s="30"/>
      <c r="T437" s="30"/>
    </row>
    <row r="438" spans="2:20" ht="13">
      <c r="B438" s="30"/>
      <c r="G438" s="30"/>
      <c r="H438" s="30"/>
      <c r="L438" s="30"/>
      <c r="P438" s="30"/>
      <c r="T438" s="30"/>
    </row>
    <row r="439" spans="2:20" ht="13">
      <c r="B439" s="30"/>
      <c r="G439" s="30"/>
      <c r="H439" s="30"/>
      <c r="L439" s="30"/>
      <c r="P439" s="30"/>
      <c r="T439" s="30"/>
    </row>
    <row r="440" spans="2:20" ht="13">
      <c r="B440" s="30"/>
      <c r="G440" s="30"/>
      <c r="H440" s="30"/>
      <c r="L440" s="30"/>
      <c r="P440" s="30"/>
      <c r="T440" s="30"/>
    </row>
    <row r="441" spans="2:20" ht="13">
      <c r="B441" s="30"/>
      <c r="G441" s="30"/>
      <c r="H441" s="30"/>
      <c r="L441" s="30"/>
      <c r="P441" s="30"/>
      <c r="T441" s="30"/>
    </row>
    <row r="442" spans="2:20" ht="13">
      <c r="B442" s="30"/>
      <c r="G442" s="30"/>
      <c r="H442" s="30"/>
      <c r="L442" s="30"/>
      <c r="P442" s="30"/>
      <c r="T442" s="30"/>
    </row>
    <row r="443" spans="2:20" ht="13">
      <c r="B443" s="30"/>
      <c r="G443" s="30"/>
      <c r="H443" s="30"/>
      <c r="L443" s="30"/>
      <c r="P443" s="30"/>
      <c r="T443" s="30"/>
    </row>
    <row r="444" spans="2:20" ht="13">
      <c r="B444" s="30"/>
      <c r="G444" s="30"/>
      <c r="H444" s="30"/>
      <c r="L444" s="30"/>
      <c r="P444" s="30"/>
      <c r="T444" s="30"/>
    </row>
    <row r="445" spans="2:20" ht="13">
      <c r="B445" s="30"/>
      <c r="G445" s="30"/>
      <c r="H445" s="30"/>
      <c r="L445" s="30"/>
      <c r="P445" s="30"/>
      <c r="T445" s="30"/>
    </row>
    <row r="446" spans="2:20" ht="13">
      <c r="B446" s="30"/>
      <c r="G446" s="30"/>
      <c r="H446" s="30"/>
      <c r="L446" s="30"/>
      <c r="P446" s="30"/>
      <c r="T446" s="30"/>
    </row>
    <row r="447" spans="2:20" ht="13">
      <c r="B447" s="30"/>
      <c r="G447" s="30"/>
      <c r="H447" s="30"/>
      <c r="L447" s="30"/>
      <c r="P447" s="30"/>
      <c r="T447" s="30"/>
    </row>
    <row r="448" spans="2:20" ht="13">
      <c r="B448" s="30"/>
      <c r="G448" s="30"/>
      <c r="H448" s="30"/>
      <c r="L448" s="30"/>
      <c r="P448" s="30"/>
      <c r="T448" s="30"/>
    </row>
    <row r="449" spans="2:20" ht="13">
      <c r="B449" s="30"/>
      <c r="G449" s="30"/>
      <c r="H449" s="30"/>
      <c r="L449" s="30"/>
      <c r="P449" s="30"/>
      <c r="T449" s="30"/>
    </row>
    <row r="450" spans="2:20" ht="13">
      <c r="B450" s="30"/>
      <c r="G450" s="30"/>
      <c r="H450" s="30"/>
      <c r="L450" s="30"/>
      <c r="P450" s="30"/>
      <c r="T450" s="30"/>
    </row>
    <row r="451" spans="2:20" ht="13">
      <c r="B451" s="30"/>
      <c r="G451" s="30"/>
      <c r="H451" s="30"/>
      <c r="L451" s="30"/>
      <c r="P451" s="30"/>
      <c r="T451" s="30"/>
    </row>
    <row r="452" spans="2:20" ht="13">
      <c r="B452" s="30"/>
      <c r="G452" s="30"/>
      <c r="H452" s="30"/>
      <c r="L452" s="30"/>
      <c r="P452" s="30"/>
      <c r="T452" s="30"/>
    </row>
    <row r="453" spans="2:20" ht="13">
      <c r="B453" s="30"/>
      <c r="G453" s="30"/>
      <c r="H453" s="30"/>
      <c r="L453" s="30"/>
      <c r="P453" s="30"/>
      <c r="T453" s="30"/>
    </row>
    <row r="454" spans="2:20" ht="13">
      <c r="B454" s="30"/>
      <c r="G454" s="30"/>
      <c r="H454" s="30"/>
      <c r="L454" s="30"/>
      <c r="P454" s="30"/>
      <c r="T454" s="30"/>
    </row>
    <row r="455" spans="2:20" ht="13">
      <c r="B455" s="30"/>
      <c r="G455" s="30"/>
      <c r="H455" s="30"/>
      <c r="L455" s="30"/>
      <c r="P455" s="30"/>
      <c r="T455" s="30"/>
    </row>
    <row r="456" spans="2:20" ht="13">
      <c r="B456" s="30"/>
      <c r="G456" s="30"/>
      <c r="H456" s="30"/>
      <c r="L456" s="30"/>
      <c r="P456" s="30"/>
      <c r="T456" s="30"/>
    </row>
    <row r="457" spans="2:20" ht="13">
      <c r="B457" s="30"/>
      <c r="G457" s="30"/>
      <c r="H457" s="30"/>
      <c r="L457" s="30"/>
      <c r="P457" s="30"/>
      <c r="T457" s="30"/>
    </row>
    <row r="458" spans="2:20" ht="13">
      <c r="B458" s="30"/>
      <c r="G458" s="30"/>
      <c r="H458" s="30"/>
      <c r="L458" s="30"/>
      <c r="P458" s="30"/>
      <c r="T458" s="30"/>
    </row>
    <row r="459" spans="2:20" ht="13">
      <c r="B459" s="30"/>
      <c r="G459" s="30"/>
      <c r="H459" s="30"/>
      <c r="L459" s="30"/>
      <c r="P459" s="30"/>
      <c r="T459" s="30"/>
    </row>
    <row r="460" spans="2:20" ht="13">
      <c r="B460" s="30"/>
      <c r="G460" s="30"/>
      <c r="H460" s="30"/>
      <c r="L460" s="30"/>
      <c r="P460" s="30"/>
      <c r="T460" s="30"/>
    </row>
    <row r="461" spans="2:20" ht="13">
      <c r="B461" s="30"/>
      <c r="G461" s="30"/>
      <c r="H461" s="30"/>
      <c r="L461" s="30"/>
      <c r="P461" s="30"/>
      <c r="T461" s="30"/>
    </row>
    <row r="462" spans="2:20" ht="13">
      <c r="B462" s="30"/>
      <c r="G462" s="30"/>
      <c r="H462" s="30"/>
      <c r="L462" s="30"/>
      <c r="P462" s="30"/>
      <c r="T462" s="30"/>
    </row>
    <row r="463" spans="2:20" ht="13">
      <c r="B463" s="30"/>
      <c r="G463" s="30"/>
      <c r="H463" s="30"/>
      <c r="L463" s="30"/>
      <c r="P463" s="30"/>
      <c r="T463" s="30"/>
    </row>
    <row r="464" spans="2:20" ht="13">
      <c r="B464" s="30"/>
      <c r="G464" s="30"/>
      <c r="H464" s="30"/>
      <c r="L464" s="30"/>
      <c r="P464" s="30"/>
      <c r="T464" s="30"/>
    </row>
    <row r="465" spans="2:20" ht="13">
      <c r="B465" s="30"/>
      <c r="G465" s="30"/>
      <c r="H465" s="30"/>
      <c r="L465" s="30"/>
      <c r="P465" s="30"/>
      <c r="T465" s="30"/>
    </row>
    <row r="466" spans="2:20" ht="13">
      <c r="B466" s="30"/>
      <c r="G466" s="30"/>
      <c r="H466" s="30"/>
      <c r="L466" s="30"/>
      <c r="P466" s="30"/>
      <c r="T466" s="30"/>
    </row>
    <row r="467" spans="2:20" ht="13">
      <c r="B467" s="30"/>
      <c r="G467" s="30"/>
      <c r="H467" s="30"/>
      <c r="L467" s="30"/>
      <c r="P467" s="30"/>
      <c r="T467" s="30"/>
    </row>
    <row r="468" spans="2:20" ht="13">
      <c r="B468" s="30"/>
      <c r="G468" s="30"/>
      <c r="H468" s="30"/>
      <c r="L468" s="30"/>
      <c r="P468" s="30"/>
      <c r="T468" s="30"/>
    </row>
    <row r="469" spans="2:20" ht="13">
      <c r="B469" s="30"/>
      <c r="G469" s="30"/>
      <c r="H469" s="30"/>
      <c r="L469" s="30"/>
      <c r="P469" s="30"/>
      <c r="T469" s="30"/>
    </row>
    <row r="470" spans="2:20" ht="13">
      <c r="B470" s="30"/>
      <c r="G470" s="30"/>
      <c r="H470" s="30"/>
      <c r="L470" s="30"/>
      <c r="P470" s="30"/>
      <c r="T470" s="30"/>
    </row>
    <row r="471" spans="2:20" ht="13">
      <c r="B471" s="30"/>
      <c r="G471" s="30"/>
      <c r="H471" s="30"/>
      <c r="L471" s="30"/>
      <c r="P471" s="30"/>
      <c r="T471" s="30"/>
    </row>
    <row r="472" spans="2:20" ht="13">
      <c r="B472" s="30"/>
      <c r="G472" s="30"/>
      <c r="H472" s="30"/>
      <c r="L472" s="30"/>
      <c r="P472" s="30"/>
      <c r="T472" s="30"/>
    </row>
    <row r="473" spans="2:20" ht="13">
      <c r="B473" s="30"/>
      <c r="G473" s="30"/>
      <c r="H473" s="30"/>
      <c r="L473" s="30"/>
      <c r="P473" s="30"/>
      <c r="T473" s="30"/>
    </row>
    <row r="474" spans="2:20" ht="13">
      <c r="B474" s="30"/>
      <c r="G474" s="30"/>
      <c r="H474" s="30"/>
      <c r="L474" s="30"/>
      <c r="P474" s="30"/>
      <c r="T474" s="30"/>
    </row>
    <row r="475" spans="2:20" ht="13">
      <c r="B475" s="30"/>
      <c r="G475" s="30"/>
      <c r="H475" s="30"/>
      <c r="L475" s="30"/>
      <c r="P475" s="30"/>
      <c r="T475" s="30"/>
    </row>
    <row r="476" spans="2:20" ht="13">
      <c r="B476" s="30"/>
      <c r="G476" s="30"/>
      <c r="H476" s="30"/>
      <c r="L476" s="30"/>
      <c r="P476" s="30"/>
      <c r="T476" s="30"/>
    </row>
    <row r="477" spans="2:20" ht="13">
      <c r="B477" s="30"/>
      <c r="G477" s="30"/>
      <c r="H477" s="30"/>
      <c r="L477" s="30"/>
      <c r="P477" s="30"/>
      <c r="T477" s="30"/>
    </row>
    <row r="478" spans="2:20" ht="13">
      <c r="B478" s="30"/>
      <c r="G478" s="30"/>
      <c r="H478" s="30"/>
      <c r="L478" s="30"/>
      <c r="P478" s="30"/>
      <c r="T478" s="30"/>
    </row>
    <row r="479" spans="2:20" ht="13">
      <c r="B479" s="30"/>
      <c r="G479" s="30"/>
      <c r="H479" s="30"/>
      <c r="L479" s="30"/>
      <c r="P479" s="30"/>
      <c r="T479" s="30"/>
    </row>
    <row r="480" spans="2:20" ht="13">
      <c r="B480" s="30"/>
      <c r="G480" s="30"/>
      <c r="H480" s="30"/>
      <c r="L480" s="30"/>
      <c r="P480" s="30"/>
      <c r="T480" s="30"/>
    </row>
    <row r="481" spans="2:20" ht="13">
      <c r="B481" s="30"/>
      <c r="G481" s="30"/>
      <c r="H481" s="30"/>
      <c r="L481" s="30"/>
      <c r="P481" s="30"/>
      <c r="T481" s="30"/>
    </row>
    <row r="482" spans="2:20" ht="13">
      <c r="B482" s="30"/>
      <c r="G482" s="30"/>
      <c r="H482" s="30"/>
      <c r="L482" s="30"/>
      <c r="P482" s="30"/>
      <c r="T482" s="30"/>
    </row>
    <row r="483" spans="2:20" ht="13">
      <c r="B483" s="30"/>
      <c r="G483" s="30"/>
      <c r="H483" s="30"/>
      <c r="L483" s="30"/>
      <c r="P483" s="30"/>
      <c r="T483" s="30"/>
    </row>
    <row r="484" spans="2:20" ht="13">
      <c r="B484" s="30"/>
      <c r="G484" s="30"/>
      <c r="H484" s="30"/>
      <c r="L484" s="30"/>
      <c r="P484" s="30"/>
      <c r="T484" s="30"/>
    </row>
    <row r="485" spans="2:20" ht="13">
      <c r="B485" s="30"/>
      <c r="G485" s="30"/>
      <c r="H485" s="30"/>
      <c r="L485" s="30"/>
      <c r="P485" s="30"/>
      <c r="T485" s="30"/>
    </row>
    <row r="486" spans="2:20" ht="13">
      <c r="B486" s="30"/>
      <c r="G486" s="30"/>
      <c r="H486" s="30"/>
      <c r="L486" s="30"/>
      <c r="P486" s="30"/>
      <c r="T486" s="30"/>
    </row>
    <row r="487" spans="2:20" ht="13">
      <c r="B487" s="30"/>
      <c r="G487" s="30"/>
      <c r="H487" s="30"/>
      <c r="L487" s="30"/>
      <c r="P487" s="30"/>
      <c r="T487" s="30"/>
    </row>
    <row r="488" spans="2:20" ht="13">
      <c r="B488" s="30"/>
      <c r="G488" s="30"/>
      <c r="H488" s="30"/>
      <c r="L488" s="30"/>
      <c r="P488" s="30"/>
      <c r="T488" s="30"/>
    </row>
    <row r="489" spans="2:20" ht="13">
      <c r="B489" s="30"/>
      <c r="G489" s="30"/>
      <c r="H489" s="30"/>
      <c r="L489" s="30"/>
      <c r="P489" s="30"/>
      <c r="T489" s="30"/>
    </row>
    <row r="490" spans="2:20" ht="13">
      <c r="B490" s="30"/>
      <c r="G490" s="30"/>
      <c r="H490" s="30"/>
      <c r="L490" s="30"/>
      <c r="P490" s="30"/>
      <c r="T490" s="30"/>
    </row>
    <row r="491" spans="2:20" ht="13">
      <c r="B491" s="30"/>
      <c r="G491" s="30"/>
      <c r="H491" s="30"/>
      <c r="L491" s="30"/>
      <c r="P491" s="30"/>
      <c r="T491" s="30"/>
    </row>
    <row r="492" spans="2:20" ht="13">
      <c r="B492" s="30"/>
      <c r="G492" s="30"/>
      <c r="H492" s="30"/>
      <c r="L492" s="30"/>
      <c r="P492" s="30"/>
      <c r="T492" s="30"/>
    </row>
    <row r="493" spans="2:20" ht="13">
      <c r="B493" s="30"/>
      <c r="G493" s="30"/>
      <c r="H493" s="30"/>
      <c r="L493" s="30"/>
      <c r="P493" s="30"/>
      <c r="T493" s="30"/>
    </row>
    <row r="494" spans="2:20" ht="13">
      <c r="B494" s="30"/>
      <c r="G494" s="30"/>
      <c r="H494" s="30"/>
      <c r="L494" s="30"/>
      <c r="P494" s="30"/>
      <c r="T494" s="30"/>
    </row>
    <row r="495" spans="2:20" ht="13">
      <c r="B495" s="30"/>
      <c r="G495" s="30"/>
      <c r="H495" s="30"/>
      <c r="L495" s="30"/>
      <c r="P495" s="30"/>
      <c r="T495" s="30"/>
    </row>
    <row r="496" spans="2:20" ht="13">
      <c r="B496" s="30"/>
      <c r="G496" s="30"/>
      <c r="H496" s="30"/>
      <c r="L496" s="30"/>
      <c r="P496" s="30"/>
      <c r="T496" s="30"/>
    </row>
    <row r="497" spans="2:20" ht="13">
      <c r="B497" s="30"/>
      <c r="G497" s="30"/>
      <c r="H497" s="30"/>
      <c r="L497" s="30"/>
      <c r="P497" s="30"/>
      <c r="T497" s="30"/>
    </row>
    <row r="498" spans="2:20" ht="13">
      <c r="B498" s="30"/>
      <c r="G498" s="30"/>
      <c r="H498" s="30"/>
      <c r="L498" s="30"/>
      <c r="P498" s="30"/>
      <c r="T498" s="30"/>
    </row>
    <row r="499" spans="2:20" ht="13">
      <c r="B499" s="30"/>
      <c r="G499" s="30"/>
      <c r="H499" s="30"/>
      <c r="L499" s="30"/>
      <c r="P499" s="30"/>
      <c r="T499" s="30"/>
    </row>
    <row r="500" spans="2:20" ht="13">
      <c r="B500" s="30"/>
      <c r="G500" s="30"/>
      <c r="H500" s="30"/>
      <c r="L500" s="30"/>
      <c r="P500" s="30"/>
      <c r="T500" s="30"/>
    </row>
    <row r="501" spans="2:20" ht="13">
      <c r="B501" s="30"/>
      <c r="G501" s="30"/>
      <c r="H501" s="30"/>
      <c r="L501" s="30"/>
      <c r="P501" s="30"/>
      <c r="T501" s="30"/>
    </row>
    <row r="502" spans="2:20" ht="13">
      <c r="B502" s="30"/>
      <c r="G502" s="30"/>
      <c r="H502" s="30"/>
      <c r="L502" s="30"/>
      <c r="P502" s="30"/>
      <c r="T502" s="30"/>
    </row>
    <row r="503" spans="2:20" ht="13">
      <c r="B503" s="30"/>
      <c r="G503" s="30"/>
      <c r="H503" s="30"/>
      <c r="L503" s="30"/>
      <c r="P503" s="30"/>
      <c r="T503" s="30"/>
    </row>
    <row r="504" spans="2:20" ht="13">
      <c r="B504" s="30"/>
      <c r="G504" s="30"/>
      <c r="H504" s="30"/>
      <c r="L504" s="30"/>
      <c r="P504" s="30"/>
      <c r="T504" s="30"/>
    </row>
    <row r="505" spans="2:20" ht="13">
      <c r="B505" s="30"/>
      <c r="G505" s="30"/>
      <c r="H505" s="30"/>
      <c r="L505" s="30"/>
      <c r="P505" s="30"/>
      <c r="T505" s="30"/>
    </row>
    <row r="506" spans="2:20" ht="13">
      <c r="B506" s="30"/>
      <c r="G506" s="30"/>
      <c r="H506" s="30"/>
      <c r="L506" s="30"/>
      <c r="P506" s="30"/>
      <c r="T506" s="30"/>
    </row>
    <row r="507" spans="2:20" ht="13">
      <c r="B507" s="30"/>
      <c r="G507" s="30"/>
      <c r="H507" s="30"/>
      <c r="L507" s="30"/>
      <c r="P507" s="30"/>
      <c r="T507" s="30"/>
    </row>
    <row r="508" spans="2:20" ht="13">
      <c r="B508" s="30"/>
      <c r="G508" s="30"/>
      <c r="H508" s="30"/>
      <c r="L508" s="30"/>
      <c r="P508" s="30"/>
      <c r="T508" s="30"/>
    </row>
    <row r="509" spans="2:20" ht="13">
      <c r="B509" s="30"/>
      <c r="G509" s="30"/>
      <c r="H509" s="30"/>
      <c r="L509" s="30"/>
      <c r="P509" s="30"/>
      <c r="T509" s="30"/>
    </row>
    <row r="510" spans="2:20" ht="13">
      <c r="B510" s="30"/>
      <c r="G510" s="30"/>
      <c r="H510" s="30"/>
      <c r="L510" s="30"/>
      <c r="P510" s="30"/>
      <c r="T510" s="30"/>
    </row>
    <row r="511" spans="2:20" ht="13">
      <c r="B511" s="30"/>
      <c r="G511" s="30"/>
      <c r="H511" s="30"/>
      <c r="L511" s="30"/>
      <c r="P511" s="30"/>
      <c r="T511" s="30"/>
    </row>
    <row r="512" spans="2:20" ht="13">
      <c r="B512" s="30"/>
      <c r="G512" s="30"/>
      <c r="H512" s="30"/>
      <c r="L512" s="30"/>
      <c r="P512" s="30"/>
      <c r="T512" s="30"/>
    </row>
    <row r="513" spans="2:20" ht="13">
      <c r="B513" s="30"/>
      <c r="G513" s="30"/>
      <c r="H513" s="30"/>
      <c r="L513" s="30"/>
      <c r="P513" s="30"/>
      <c r="T513" s="30"/>
    </row>
    <row r="514" spans="2:20" ht="13">
      <c r="B514" s="30"/>
      <c r="G514" s="30"/>
      <c r="H514" s="30"/>
      <c r="L514" s="30"/>
      <c r="P514" s="30"/>
      <c r="T514" s="30"/>
    </row>
    <row r="515" spans="2:20" ht="13">
      <c r="B515" s="30"/>
      <c r="G515" s="30"/>
      <c r="H515" s="30"/>
      <c r="L515" s="30"/>
      <c r="P515" s="30"/>
      <c r="T515" s="30"/>
    </row>
    <row r="516" spans="2:20" ht="13">
      <c r="B516" s="30"/>
      <c r="G516" s="30"/>
      <c r="H516" s="30"/>
      <c r="L516" s="30"/>
      <c r="P516" s="30"/>
      <c r="T516" s="30"/>
    </row>
    <row r="517" spans="2:20" ht="13">
      <c r="B517" s="30"/>
      <c r="G517" s="30"/>
      <c r="H517" s="30"/>
      <c r="L517" s="30"/>
      <c r="P517" s="30"/>
      <c r="T517" s="30"/>
    </row>
    <row r="518" spans="2:20" ht="13">
      <c r="B518" s="30"/>
      <c r="G518" s="30"/>
      <c r="H518" s="30"/>
      <c r="L518" s="30"/>
      <c r="P518" s="30"/>
      <c r="T518" s="30"/>
    </row>
    <row r="519" spans="2:20" ht="13">
      <c r="B519" s="30"/>
      <c r="G519" s="30"/>
      <c r="H519" s="30"/>
      <c r="L519" s="30"/>
      <c r="P519" s="30"/>
      <c r="T519" s="30"/>
    </row>
    <row r="520" spans="2:20" ht="13">
      <c r="B520" s="30"/>
      <c r="G520" s="30"/>
      <c r="H520" s="30"/>
      <c r="L520" s="30"/>
      <c r="P520" s="30"/>
      <c r="T520" s="30"/>
    </row>
    <row r="521" spans="2:20" ht="13">
      <c r="B521" s="30"/>
      <c r="G521" s="30"/>
      <c r="H521" s="30"/>
      <c r="L521" s="30"/>
      <c r="P521" s="30"/>
      <c r="T521" s="30"/>
    </row>
    <row r="522" spans="2:20" ht="13">
      <c r="B522" s="30"/>
      <c r="G522" s="30"/>
      <c r="H522" s="30"/>
      <c r="L522" s="30"/>
      <c r="P522" s="30"/>
      <c r="T522" s="30"/>
    </row>
    <row r="523" spans="2:20" ht="13">
      <c r="B523" s="30"/>
      <c r="G523" s="30"/>
      <c r="H523" s="30"/>
      <c r="L523" s="30"/>
      <c r="P523" s="30"/>
      <c r="T523" s="30"/>
    </row>
    <row r="524" spans="2:20" ht="13">
      <c r="B524" s="30"/>
      <c r="G524" s="30"/>
      <c r="H524" s="30"/>
      <c r="L524" s="30"/>
      <c r="P524" s="30"/>
      <c r="T524" s="30"/>
    </row>
    <row r="525" spans="2:20" ht="13">
      <c r="B525" s="30"/>
      <c r="G525" s="30"/>
      <c r="H525" s="30"/>
      <c r="L525" s="30"/>
      <c r="P525" s="30"/>
      <c r="T525" s="30"/>
    </row>
    <row r="526" spans="2:20" ht="13">
      <c r="B526" s="30"/>
      <c r="G526" s="30"/>
      <c r="H526" s="30"/>
      <c r="L526" s="30"/>
      <c r="P526" s="30"/>
      <c r="T526" s="30"/>
    </row>
    <row r="527" spans="2:20" ht="13">
      <c r="B527" s="30"/>
      <c r="G527" s="30"/>
      <c r="H527" s="30"/>
      <c r="L527" s="30"/>
      <c r="P527" s="30"/>
      <c r="T527" s="30"/>
    </row>
    <row r="528" spans="2:20" ht="13">
      <c r="B528" s="30"/>
      <c r="G528" s="30"/>
      <c r="H528" s="30"/>
      <c r="L528" s="30"/>
      <c r="P528" s="30"/>
      <c r="T528" s="30"/>
    </row>
    <row r="529" spans="2:20" ht="13">
      <c r="B529" s="30"/>
      <c r="G529" s="30"/>
      <c r="H529" s="30"/>
      <c r="L529" s="30"/>
      <c r="P529" s="30"/>
      <c r="T529" s="30"/>
    </row>
    <row r="530" spans="2:20" ht="13">
      <c r="B530" s="30"/>
      <c r="G530" s="30"/>
      <c r="H530" s="30"/>
      <c r="L530" s="30"/>
      <c r="P530" s="30"/>
      <c r="T530" s="30"/>
    </row>
    <row r="531" spans="2:20" ht="13">
      <c r="B531" s="30"/>
      <c r="G531" s="30"/>
      <c r="H531" s="30"/>
      <c r="L531" s="30"/>
      <c r="P531" s="30"/>
      <c r="T531" s="30"/>
    </row>
    <row r="532" spans="2:20" ht="13">
      <c r="B532" s="30"/>
      <c r="G532" s="30"/>
      <c r="H532" s="30"/>
      <c r="L532" s="30"/>
      <c r="P532" s="30"/>
      <c r="T532" s="30"/>
    </row>
    <row r="533" spans="2:20" ht="13">
      <c r="B533" s="30"/>
      <c r="G533" s="30"/>
      <c r="H533" s="30"/>
      <c r="L533" s="30"/>
      <c r="P533" s="30"/>
      <c r="T533" s="30"/>
    </row>
    <row r="534" spans="2:20" ht="13">
      <c r="B534" s="30"/>
      <c r="G534" s="30"/>
      <c r="H534" s="30"/>
      <c r="L534" s="30"/>
      <c r="P534" s="30"/>
      <c r="T534" s="30"/>
    </row>
    <row r="535" spans="2:20" ht="13">
      <c r="B535" s="30"/>
      <c r="G535" s="30"/>
      <c r="H535" s="30"/>
      <c r="L535" s="30"/>
      <c r="P535" s="30"/>
      <c r="T535" s="30"/>
    </row>
    <row r="536" spans="2:20" ht="13">
      <c r="B536" s="30"/>
      <c r="G536" s="30"/>
      <c r="H536" s="30"/>
      <c r="L536" s="30"/>
      <c r="P536" s="30"/>
      <c r="T536" s="30"/>
    </row>
    <row r="537" spans="2:20" ht="13">
      <c r="B537" s="30"/>
      <c r="G537" s="30"/>
      <c r="H537" s="30"/>
      <c r="L537" s="30"/>
      <c r="P537" s="30"/>
      <c r="T537" s="30"/>
    </row>
    <row r="538" spans="2:20" ht="13">
      <c r="B538" s="30"/>
      <c r="G538" s="30"/>
      <c r="H538" s="30"/>
      <c r="L538" s="30"/>
      <c r="P538" s="30"/>
      <c r="T538" s="30"/>
    </row>
    <row r="539" spans="2:20" ht="13">
      <c r="B539" s="30"/>
      <c r="G539" s="30"/>
      <c r="H539" s="30"/>
      <c r="L539" s="30"/>
      <c r="P539" s="30"/>
      <c r="T539" s="30"/>
    </row>
    <row r="540" spans="2:20" ht="13">
      <c r="B540" s="30"/>
      <c r="G540" s="30"/>
      <c r="H540" s="30"/>
      <c r="L540" s="30"/>
      <c r="P540" s="30"/>
      <c r="T540" s="30"/>
    </row>
    <row r="541" spans="2:20" ht="13">
      <c r="B541" s="30"/>
      <c r="G541" s="30"/>
      <c r="H541" s="30"/>
      <c r="L541" s="30"/>
      <c r="P541" s="30"/>
      <c r="T541" s="30"/>
    </row>
    <row r="542" spans="2:20" ht="13">
      <c r="B542" s="30"/>
      <c r="G542" s="30"/>
      <c r="H542" s="30"/>
      <c r="L542" s="30"/>
      <c r="P542" s="30"/>
      <c r="T542" s="30"/>
    </row>
    <row r="543" spans="2:20" ht="13">
      <c r="B543" s="30"/>
      <c r="G543" s="30"/>
      <c r="H543" s="30"/>
      <c r="L543" s="30"/>
      <c r="P543" s="30"/>
      <c r="T543" s="30"/>
    </row>
    <row r="544" spans="2:20" ht="13">
      <c r="B544" s="30"/>
      <c r="G544" s="30"/>
      <c r="H544" s="30"/>
      <c r="L544" s="30"/>
      <c r="P544" s="30"/>
      <c r="T544" s="30"/>
    </row>
    <row r="545" spans="2:20" ht="13">
      <c r="B545" s="30"/>
      <c r="G545" s="30"/>
      <c r="H545" s="30"/>
      <c r="L545" s="30"/>
      <c r="P545" s="30"/>
      <c r="T545" s="30"/>
    </row>
    <row r="546" spans="2:20" ht="13">
      <c r="B546" s="30"/>
      <c r="G546" s="30"/>
      <c r="H546" s="30"/>
      <c r="L546" s="30"/>
      <c r="P546" s="30"/>
      <c r="T546" s="30"/>
    </row>
    <row r="547" spans="2:20" ht="13">
      <c r="B547" s="30"/>
      <c r="G547" s="30"/>
      <c r="H547" s="30"/>
      <c r="L547" s="30"/>
      <c r="P547" s="30"/>
      <c r="T547" s="30"/>
    </row>
    <row r="548" spans="2:20" ht="13">
      <c r="B548" s="30"/>
      <c r="G548" s="30"/>
      <c r="H548" s="30"/>
      <c r="L548" s="30"/>
      <c r="P548" s="30"/>
      <c r="T548" s="30"/>
    </row>
    <row r="549" spans="2:20" ht="13">
      <c r="B549" s="30"/>
      <c r="G549" s="30"/>
      <c r="H549" s="30"/>
      <c r="L549" s="30"/>
      <c r="P549" s="30"/>
      <c r="T549" s="30"/>
    </row>
    <row r="550" spans="2:20" ht="13">
      <c r="B550" s="30"/>
      <c r="G550" s="30"/>
      <c r="H550" s="30"/>
      <c r="L550" s="30"/>
      <c r="P550" s="30"/>
      <c r="T550" s="30"/>
    </row>
    <row r="551" spans="2:20" ht="13">
      <c r="B551" s="30"/>
      <c r="G551" s="30"/>
      <c r="H551" s="30"/>
      <c r="L551" s="30"/>
      <c r="P551" s="30"/>
      <c r="T551" s="30"/>
    </row>
    <row r="552" spans="2:20" ht="13">
      <c r="B552" s="30"/>
      <c r="G552" s="30"/>
      <c r="H552" s="30"/>
      <c r="L552" s="30"/>
      <c r="P552" s="30"/>
      <c r="T552" s="30"/>
    </row>
    <row r="553" spans="2:20" ht="13">
      <c r="B553" s="30"/>
      <c r="G553" s="30"/>
      <c r="H553" s="30"/>
      <c r="L553" s="30"/>
      <c r="P553" s="30"/>
      <c r="T553" s="30"/>
    </row>
    <row r="554" spans="2:20" ht="13">
      <c r="B554" s="30"/>
      <c r="G554" s="30"/>
      <c r="H554" s="30"/>
      <c r="L554" s="30"/>
      <c r="P554" s="30"/>
      <c r="T554" s="30"/>
    </row>
    <row r="555" spans="2:20" ht="13">
      <c r="B555" s="30"/>
      <c r="G555" s="30"/>
      <c r="H555" s="30"/>
      <c r="L555" s="30"/>
      <c r="P555" s="30"/>
      <c r="T555" s="30"/>
    </row>
    <row r="556" spans="2:20" ht="13">
      <c r="B556" s="30"/>
      <c r="G556" s="30"/>
      <c r="H556" s="30"/>
      <c r="L556" s="30"/>
      <c r="P556" s="30"/>
      <c r="T556" s="30"/>
    </row>
    <row r="557" spans="2:20" ht="13">
      <c r="B557" s="30"/>
      <c r="G557" s="30"/>
      <c r="H557" s="30"/>
      <c r="L557" s="30"/>
      <c r="P557" s="30"/>
      <c r="T557" s="30"/>
    </row>
    <row r="558" spans="2:20" ht="13">
      <c r="B558" s="30"/>
      <c r="G558" s="30"/>
      <c r="H558" s="30"/>
      <c r="L558" s="30"/>
      <c r="P558" s="30"/>
      <c r="T558" s="30"/>
    </row>
    <row r="559" spans="2:20" ht="13">
      <c r="B559" s="30"/>
      <c r="G559" s="30"/>
      <c r="H559" s="30"/>
      <c r="L559" s="30"/>
      <c r="P559" s="30"/>
      <c r="T559" s="30"/>
    </row>
    <row r="560" spans="2:20" ht="13">
      <c r="B560" s="30"/>
      <c r="G560" s="30"/>
      <c r="H560" s="30"/>
      <c r="L560" s="30"/>
      <c r="P560" s="30"/>
      <c r="T560" s="30"/>
    </row>
    <row r="561" spans="2:20" ht="13">
      <c r="B561" s="30"/>
      <c r="G561" s="30"/>
      <c r="H561" s="30"/>
      <c r="L561" s="30"/>
      <c r="P561" s="30"/>
      <c r="T561" s="30"/>
    </row>
    <row r="562" spans="2:20" ht="13">
      <c r="B562" s="30"/>
      <c r="G562" s="30"/>
      <c r="H562" s="30"/>
      <c r="L562" s="30"/>
      <c r="P562" s="30"/>
      <c r="T562" s="30"/>
    </row>
    <row r="563" spans="2:20" ht="13">
      <c r="B563" s="30"/>
      <c r="G563" s="30"/>
      <c r="H563" s="30"/>
      <c r="L563" s="30"/>
      <c r="P563" s="30"/>
      <c r="T563" s="30"/>
    </row>
    <row r="564" spans="2:20" ht="13">
      <c r="B564" s="30"/>
      <c r="G564" s="30"/>
      <c r="H564" s="30"/>
      <c r="L564" s="30"/>
      <c r="P564" s="30"/>
      <c r="T564" s="30"/>
    </row>
    <row r="565" spans="2:20" ht="13">
      <c r="B565" s="30"/>
      <c r="G565" s="30"/>
      <c r="H565" s="30"/>
      <c r="L565" s="30"/>
      <c r="P565" s="30"/>
      <c r="T565" s="30"/>
    </row>
    <row r="566" spans="2:20" ht="13">
      <c r="B566" s="30"/>
      <c r="G566" s="30"/>
      <c r="H566" s="30"/>
      <c r="L566" s="30"/>
      <c r="P566" s="30"/>
      <c r="T566" s="30"/>
    </row>
    <row r="567" spans="2:20" ht="13">
      <c r="B567" s="30"/>
      <c r="G567" s="30"/>
      <c r="H567" s="30"/>
      <c r="L567" s="30"/>
      <c r="P567" s="30"/>
      <c r="T567" s="30"/>
    </row>
    <row r="568" spans="2:20" ht="13">
      <c r="B568" s="30"/>
      <c r="G568" s="30"/>
      <c r="H568" s="30"/>
      <c r="L568" s="30"/>
      <c r="P568" s="30"/>
      <c r="T568" s="30"/>
    </row>
    <row r="569" spans="2:20" ht="13">
      <c r="B569" s="30"/>
      <c r="G569" s="30"/>
      <c r="H569" s="30"/>
      <c r="L569" s="30"/>
      <c r="P569" s="30"/>
      <c r="T569" s="30"/>
    </row>
    <row r="570" spans="2:20" ht="13">
      <c r="B570" s="30"/>
      <c r="G570" s="30"/>
      <c r="H570" s="30"/>
      <c r="L570" s="30"/>
      <c r="P570" s="30"/>
      <c r="T570" s="30"/>
    </row>
    <row r="571" spans="2:20" ht="13">
      <c r="B571" s="30"/>
      <c r="G571" s="30"/>
      <c r="H571" s="30"/>
      <c r="L571" s="30"/>
      <c r="P571" s="30"/>
      <c r="T571" s="30"/>
    </row>
    <row r="572" spans="2:20" ht="13">
      <c r="B572" s="30"/>
      <c r="G572" s="30"/>
      <c r="H572" s="30"/>
      <c r="L572" s="30"/>
      <c r="P572" s="30"/>
      <c r="T572" s="30"/>
    </row>
    <row r="573" spans="2:20" ht="13">
      <c r="B573" s="30"/>
      <c r="G573" s="30"/>
      <c r="H573" s="30"/>
      <c r="L573" s="30"/>
      <c r="P573" s="30"/>
      <c r="T573" s="30"/>
    </row>
    <row r="574" spans="2:20" ht="13">
      <c r="B574" s="30"/>
      <c r="G574" s="30"/>
      <c r="H574" s="30"/>
      <c r="L574" s="30"/>
      <c r="P574" s="30"/>
      <c r="T574" s="30"/>
    </row>
    <row r="575" spans="2:20" ht="13">
      <c r="B575" s="30"/>
      <c r="G575" s="30"/>
      <c r="H575" s="30"/>
      <c r="L575" s="30"/>
      <c r="P575" s="30"/>
      <c r="T575" s="30"/>
    </row>
    <row r="576" spans="2:20" ht="13">
      <c r="B576" s="30"/>
      <c r="G576" s="30"/>
      <c r="H576" s="30"/>
      <c r="L576" s="30"/>
      <c r="P576" s="30"/>
      <c r="T576" s="30"/>
    </row>
    <row r="577" spans="2:20" ht="13">
      <c r="B577" s="30"/>
      <c r="G577" s="30"/>
      <c r="H577" s="30"/>
      <c r="L577" s="30"/>
      <c r="P577" s="30"/>
      <c r="T577" s="30"/>
    </row>
    <row r="578" spans="2:20" ht="13">
      <c r="B578" s="30"/>
      <c r="G578" s="30"/>
      <c r="H578" s="30"/>
      <c r="L578" s="30"/>
      <c r="P578" s="30"/>
      <c r="T578" s="30"/>
    </row>
    <row r="579" spans="2:20" ht="13">
      <c r="B579" s="30"/>
      <c r="G579" s="30"/>
      <c r="H579" s="30"/>
      <c r="L579" s="30"/>
      <c r="P579" s="30"/>
      <c r="T579" s="30"/>
    </row>
    <row r="580" spans="2:20" ht="13">
      <c r="B580" s="30"/>
      <c r="G580" s="30"/>
      <c r="H580" s="30"/>
      <c r="L580" s="30"/>
      <c r="P580" s="30"/>
      <c r="T580" s="30"/>
    </row>
    <row r="581" spans="2:20" ht="13">
      <c r="B581" s="30"/>
      <c r="G581" s="30"/>
      <c r="H581" s="30"/>
      <c r="L581" s="30"/>
      <c r="P581" s="30"/>
      <c r="T581" s="30"/>
    </row>
    <row r="582" spans="2:20" ht="13">
      <c r="B582" s="30"/>
      <c r="G582" s="30"/>
      <c r="H582" s="30"/>
      <c r="L582" s="30"/>
      <c r="P582" s="30"/>
      <c r="T582" s="30"/>
    </row>
    <row r="583" spans="2:20" ht="13">
      <c r="B583" s="30"/>
      <c r="G583" s="30"/>
      <c r="H583" s="30"/>
      <c r="L583" s="30"/>
      <c r="P583" s="30"/>
      <c r="T583" s="30"/>
    </row>
    <row r="584" spans="2:20" ht="13">
      <c r="B584" s="30"/>
      <c r="G584" s="30"/>
      <c r="H584" s="30"/>
      <c r="L584" s="30"/>
      <c r="P584" s="30"/>
      <c r="T584" s="30"/>
    </row>
    <row r="585" spans="2:20" ht="13">
      <c r="B585" s="30"/>
      <c r="G585" s="30"/>
      <c r="H585" s="30"/>
      <c r="L585" s="30"/>
      <c r="P585" s="30"/>
      <c r="T585" s="30"/>
    </row>
    <row r="586" spans="2:20" ht="13">
      <c r="B586" s="30"/>
      <c r="G586" s="30"/>
      <c r="H586" s="30"/>
      <c r="L586" s="30"/>
      <c r="P586" s="30"/>
      <c r="T586" s="30"/>
    </row>
    <row r="587" spans="2:20" ht="13">
      <c r="B587" s="30"/>
      <c r="G587" s="30"/>
      <c r="H587" s="30"/>
      <c r="L587" s="30"/>
      <c r="P587" s="30"/>
      <c r="T587" s="30"/>
    </row>
    <row r="588" spans="2:20" ht="13">
      <c r="B588" s="30"/>
      <c r="G588" s="30"/>
      <c r="H588" s="30"/>
      <c r="L588" s="30"/>
      <c r="P588" s="30"/>
      <c r="T588" s="30"/>
    </row>
    <row r="589" spans="2:20" ht="13">
      <c r="B589" s="30"/>
      <c r="G589" s="30"/>
      <c r="H589" s="30"/>
      <c r="L589" s="30"/>
      <c r="P589" s="30"/>
      <c r="T589" s="30"/>
    </row>
    <row r="590" spans="2:20" ht="13">
      <c r="B590" s="30"/>
      <c r="G590" s="30"/>
      <c r="H590" s="30"/>
      <c r="L590" s="30"/>
      <c r="P590" s="30"/>
      <c r="T590" s="30"/>
    </row>
    <row r="591" spans="2:20" ht="13">
      <c r="B591" s="30"/>
      <c r="G591" s="30"/>
      <c r="H591" s="30"/>
      <c r="L591" s="30"/>
      <c r="P591" s="30"/>
      <c r="T591" s="30"/>
    </row>
    <row r="592" spans="2:20" ht="13">
      <c r="B592" s="30"/>
      <c r="G592" s="30"/>
      <c r="H592" s="30"/>
      <c r="L592" s="30"/>
      <c r="P592" s="30"/>
      <c r="T592" s="30"/>
    </row>
    <row r="593" spans="2:20" ht="13">
      <c r="B593" s="30"/>
      <c r="G593" s="30"/>
      <c r="H593" s="30"/>
      <c r="L593" s="30"/>
      <c r="P593" s="30"/>
      <c r="T593" s="30"/>
    </row>
    <row r="594" spans="2:20" ht="13">
      <c r="B594" s="30"/>
      <c r="G594" s="30"/>
      <c r="H594" s="30"/>
      <c r="L594" s="30"/>
      <c r="P594" s="30"/>
      <c r="T594" s="30"/>
    </row>
    <row r="595" spans="2:20" ht="13">
      <c r="B595" s="30"/>
      <c r="G595" s="30"/>
      <c r="H595" s="30"/>
      <c r="L595" s="30"/>
      <c r="P595" s="30"/>
      <c r="T595" s="30"/>
    </row>
    <row r="596" spans="2:20" ht="13">
      <c r="B596" s="30"/>
      <c r="G596" s="30"/>
      <c r="H596" s="30"/>
      <c r="L596" s="30"/>
      <c r="P596" s="30"/>
      <c r="T596" s="30"/>
    </row>
    <row r="597" spans="2:20" ht="13">
      <c r="B597" s="30"/>
      <c r="G597" s="30"/>
      <c r="H597" s="30"/>
      <c r="L597" s="30"/>
      <c r="P597" s="30"/>
      <c r="T597" s="30"/>
    </row>
    <row r="598" spans="2:20" ht="13">
      <c r="B598" s="30"/>
      <c r="G598" s="30"/>
      <c r="H598" s="30"/>
      <c r="L598" s="30"/>
      <c r="P598" s="30"/>
      <c r="T598" s="30"/>
    </row>
    <row r="599" spans="2:20" ht="13">
      <c r="B599" s="30"/>
      <c r="G599" s="30"/>
      <c r="H599" s="30"/>
      <c r="L599" s="30"/>
      <c r="P599" s="30"/>
      <c r="T599" s="30"/>
    </row>
    <row r="600" spans="2:20" ht="13">
      <c r="B600" s="30"/>
      <c r="G600" s="30"/>
      <c r="H600" s="30"/>
      <c r="L600" s="30"/>
      <c r="P600" s="30"/>
      <c r="T600" s="30"/>
    </row>
    <row r="601" spans="2:20" ht="13">
      <c r="B601" s="30"/>
      <c r="G601" s="30"/>
      <c r="H601" s="30"/>
      <c r="L601" s="30"/>
      <c r="P601" s="30"/>
      <c r="T601" s="30"/>
    </row>
    <row r="602" spans="2:20" ht="13">
      <c r="B602" s="30"/>
      <c r="G602" s="30"/>
      <c r="H602" s="30"/>
      <c r="L602" s="30"/>
      <c r="P602" s="30"/>
      <c r="T602" s="30"/>
    </row>
    <row r="603" spans="2:20" ht="13">
      <c r="B603" s="30"/>
      <c r="G603" s="30"/>
      <c r="H603" s="30"/>
      <c r="L603" s="30"/>
      <c r="P603" s="30"/>
      <c r="T603" s="30"/>
    </row>
    <row r="604" spans="2:20" ht="13">
      <c r="B604" s="30"/>
      <c r="G604" s="30"/>
      <c r="H604" s="30"/>
      <c r="L604" s="30"/>
      <c r="P604" s="30"/>
      <c r="T604" s="30"/>
    </row>
    <row r="605" spans="2:20" ht="13">
      <c r="B605" s="30"/>
      <c r="G605" s="30"/>
      <c r="H605" s="30"/>
      <c r="L605" s="30"/>
      <c r="P605" s="30"/>
      <c r="T605" s="30"/>
    </row>
    <row r="606" spans="2:20" ht="13">
      <c r="B606" s="30"/>
      <c r="G606" s="30"/>
      <c r="H606" s="30"/>
      <c r="L606" s="30"/>
      <c r="P606" s="30"/>
      <c r="T606" s="30"/>
    </row>
    <row r="607" spans="2:20" ht="13">
      <c r="B607" s="30"/>
      <c r="G607" s="30"/>
      <c r="H607" s="30"/>
      <c r="L607" s="30"/>
      <c r="P607" s="30"/>
      <c r="T607" s="30"/>
    </row>
    <row r="608" spans="2:20" ht="13">
      <c r="B608" s="30"/>
      <c r="G608" s="30"/>
      <c r="H608" s="30"/>
      <c r="L608" s="30"/>
      <c r="P608" s="30"/>
      <c r="T608" s="30"/>
    </row>
    <row r="609" spans="2:20" ht="13">
      <c r="B609" s="30"/>
      <c r="G609" s="30"/>
      <c r="H609" s="30"/>
      <c r="L609" s="30"/>
      <c r="P609" s="30"/>
      <c r="T609" s="30"/>
    </row>
    <row r="610" spans="2:20" ht="13">
      <c r="B610" s="30"/>
      <c r="G610" s="30"/>
      <c r="H610" s="30"/>
      <c r="L610" s="30"/>
      <c r="P610" s="30"/>
      <c r="T610" s="30"/>
    </row>
    <row r="611" spans="2:20" ht="13">
      <c r="B611" s="30"/>
      <c r="G611" s="30"/>
      <c r="H611" s="30"/>
      <c r="L611" s="30"/>
      <c r="P611" s="30"/>
      <c r="T611" s="30"/>
    </row>
    <row r="612" spans="2:20" ht="13">
      <c r="B612" s="30"/>
      <c r="G612" s="30"/>
      <c r="H612" s="30"/>
      <c r="L612" s="30"/>
      <c r="P612" s="30"/>
      <c r="T612" s="30"/>
    </row>
    <row r="613" spans="2:20" ht="13">
      <c r="B613" s="30"/>
      <c r="G613" s="30"/>
      <c r="H613" s="30"/>
      <c r="L613" s="30"/>
      <c r="P613" s="30"/>
      <c r="T613" s="30"/>
    </row>
    <row r="614" spans="2:20" ht="13">
      <c r="B614" s="30"/>
      <c r="G614" s="30"/>
      <c r="H614" s="30"/>
      <c r="L614" s="30"/>
      <c r="P614" s="30"/>
      <c r="T614" s="30"/>
    </row>
    <row r="615" spans="2:20" ht="13">
      <c r="B615" s="30"/>
      <c r="G615" s="30"/>
      <c r="H615" s="30"/>
      <c r="L615" s="30"/>
      <c r="P615" s="30"/>
      <c r="T615" s="30"/>
    </row>
    <row r="616" spans="2:20" ht="13">
      <c r="B616" s="30"/>
      <c r="G616" s="30"/>
      <c r="H616" s="30"/>
      <c r="L616" s="30"/>
      <c r="P616" s="30"/>
      <c r="T616" s="30"/>
    </row>
    <row r="617" spans="2:20" ht="13">
      <c r="B617" s="30"/>
      <c r="G617" s="30"/>
      <c r="H617" s="30"/>
      <c r="L617" s="30"/>
      <c r="P617" s="30"/>
      <c r="T617" s="30"/>
    </row>
    <row r="618" spans="2:20" ht="13">
      <c r="B618" s="30"/>
      <c r="G618" s="30"/>
      <c r="H618" s="30"/>
      <c r="L618" s="30"/>
      <c r="P618" s="30"/>
      <c r="T618" s="30"/>
    </row>
    <row r="619" spans="2:20" ht="13">
      <c r="B619" s="30"/>
      <c r="G619" s="30"/>
      <c r="H619" s="30"/>
      <c r="L619" s="30"/>
      <c r="P619" s="30"/>
      <c r="T619" s="30"/>
    </row>
    <row r="620" spans="2:20" ht="13">
      <c r="B620" s="30"/>
      <c r="G620" s="30"/>
      <c r="H620" s="30"/>
      <c r="L620" s="30"/>
      <c r="P620" s="30"/>
      <c r="T620" s="30"/>
    </row>
    <row r="621" spans="2:20" ht="13">
      <c r="B621" s="30"/>
      <c r="G621" s="30"/>
      <c r="H621" s="30"/>
      <c r="L621" s="30"/>
      <c r="P621" s="30"/>
      <c r="T621" s="30"/>
    </row>
    <row r="622" spans="2:20" ht="13">
      <c r="B622" s="30"/>
      <c r="G622" s="30"/>
      <c r="H622" s="30"/>
      <c r="L622" s="30"/>
      <c r="P622" s="30"/>
      <c r="T622" s="30"/>
    </row>
    <row r="623" spans="2:20" ht="13">
      <c r="B623" s="30"/>
      <c r="G623" s="30"/>
      <c r="H623" s="30"/>
      <c r="L623" s="30"/>
      <c r="P623" s="30"/>
      <c r="T623" s="30"/>
    </row>
    <row r="624" spans="2:20" ht="13">
      <c r="B624" s="30"/>
      <c r="G624" s="30"/>
      <c r="H624" s="30"/>
      <c r="L624" s="30"/>
      <c r="P624" s="30"/>
      <c r="T624" s="30"/>
    </row>
    <row r="625" spans="2:20" ht="13">
      <c r="B625" s="30"/>
      <c r="G625" s="30"/>
      <c r="H625" s="30"/>
      <c r="L625" s="30"/>
      <c r="P625" s="30"/>
      <c r="T625" s="30"/>
    </row>
    <row r="626" spans="2:20" ht="13">
      <c r="B626" s="30"/>
      <c r="G626" s="30"/>
      <c r="H626" s="30"/>
      <c r="L626" s="30"/>
      <c r="P626" s="30"/>
      <c r="T626" s="30"/>
    </row>
    <row r="627" spans="2:20" ht="13">
      <c r="B627" s="30"/>
      <c r="G627" s="30"/>
      <c r="H627" s="30"/>
      <c r="L627" s="30"/>
      <c r="P627" s="30"/>
      <c r="T627" s="30"/>
    </row>
    <row r="628" spans="2:20" ht="13">
      <c r="B628" s="30"/>
      <c r="G628" s="30"/>
      <c r="H628" s="30"/>
      <c r="L628" s="30"/>
      <c r="P628" s="30"/>
      <c r="T628" s="30"/>
    </row>
    <row r="629" spans="2:20" ht="13">
      <c r="B629" s="30"/>
      <c r="G629" s="30"/>
      <c r="H629" s="30"/>
      <c r="L629" s="30"/>
      <c r="P629" s="30"/>
      <c r="T629" s="30"/>
    </row>
    <row r="630" spans="2:20" ht="13">
      <c r="B630" s="30"/>
      <c r="G630" s="30"/>
      <c r="H630" s="30"/>
      <c r="L630" s="30"/>
      <c r="P630" s="30"/>
      <c r="T630" s="30"/>
    </row>
    <row r="631" spans="2:20" ht="13">
      <c r="B631" s="30"/>
      <c r="G631" s="30"/>
      <c r="H631" s="30"/>
      <c r="L631" s="30"/>
      <c r="P631" s="30"/>
      <c r="T631" s="30"/>
    </row>
    <row r="632" spans="2:20" ht="13">
      <c r="B632" s="30"/>
      <c r="G632" s="30"/>
      <c r="H632" s="30"/>
      <c r="L632" s="30"/>
      <c r="P632" s="30"/>
      <c r="T632" s="30"/>
    </row>
    <row r="633" spans="2:20" ht="13">
      <c r="B633" s="30"/>
      <c r="G633" s="30"/>
      <c r="H633" s="30"/>
      <c r="L633" s="30"/>
      <c r="P633" s="30"/>
      <c r="T633" s="30"/>
    </row>
    <row r="634" spans="2:20" ht="13">
      <c r="B634" s="30"/>
      <c r="G634" s="30"/>
      <c r="H634" s="30"/>
      <c r="L634" s="30"/>
      <c r="P634" s="30"/>
      <c r="T634" s="30"/>
    </row>
    <row r="635" spans="2:20" ht="13">
      <c r="B635" s="30"/>
      <c r="G635" s="30"/>
      <c r="H635" s="30"/>
      <c r="L635" s="30"/>
      <c r="P635" s="30"/>
      <c r="T635" s="30"/>
    </row>
    <row r="636" spans="2:20" ht="13">
      <c r="B636" s="30"/>
      <c r="G636" s="30"/>
      <c r="H636" s="30"/>
      <c r="L636" s="30"/>
      <c r="P636" s="30"/>
      <c r="T636" s="30"/>
    </row>
    <row r="637" spans="2:20" ht="13">
      <c r="B637" s="30"/>
      <c r="G637" s="30"/>
      <c r="H637" s="30"/>
      <c r="L637" s="30"/>
      <c r="P637" s="30"/>
      <c r="T637" s="30"/>
    </row>
    <row r="638" spans="2:20" ht="13">
      <c r="B638" s="30"/>
      <c r="G638" s="30"/>
      <c r="H638" s="30"/>
      <c r="L638" s="30"/>
      <c r="P638" s="30"/>
      <c r="T638" s="30"/>
    </row>
    <row r="639" spans="2:20" ht="13">
      <c r="B639" s="30"/>
      <c r="G639" s="30"/>
      <c r="H639" s="30"/>
      <c r="L639" s="30"/>
      <c r="P639" s="30"/>
      <c r="T639" s="30"/>
    </row>
    <row r="640" spans="2:20" ht="13">
      <c r="B640" s="30"/>
      <c r="G640" s="30"/>
      <c r="H640" s="30"/>
      <c r="L640" s="30"/>
      <c r="P640" s="30"/>
      <c r="T640" s="30"/>
    </row>
    <row r="641" spans="2:20" ht="13">
      <c r="B641" s="30"/>
      <c r="G641" s="30"/>
      <c r="H641" s="30"/>
      <c r="L641" s="30"/>
      <c r="P641" s="30"/>
      <c r="T641" s="30"/>
    </row>
    <row r="642" spans="2:20" ht="13">
      <c r="B642" s="30"/>
      <c r="G642" s="30"/>
      <c r="H642" s="30"/>
      <c r="L642" s="30"/>
      <c r="P642" s="30"/>
      <c r="T642" s="30"/>
    </row>
    <row r="643" spans="2:20" ht="13">
      <c r="B643" s="30"/>
      <c r="G643" s="30"/>
      <c r="H643" s="30"/>
      <c r="L643" s="30"/>
      <c r="P643" s="30"/>
      <c r="T643" s="30"/>
    </row>
    <row r="644" spans="2:20" ht="13">
      <c r="B644" s="30"/>
      <c r="G644" s="30"/>
      <c r="H644" s="30"/>
      <c r="L644" s="30"/>
      <c r="P644" s="30"/>
      <c r="T644" s="30"/>
    </row>
    <row r="645" spans="2:20" ht="13">
      <c r="B645" s="30"/>
      <c r="G645" s="30"/>
      <c r="H645" s="30"/>
      <c r="L645" s="30"/>
      <c r="P645" s="30"/>
      <c r="T645" s="30"/>
    </row>
    <row r="646" spans="2:20" ht="13">
      <c r="B646" s="30"/>
      <c r="G646" s="30"/>
      <c r="H646" s="30"/>
      <c r="L646" s="30"/>
      <c r="P646" s="30"/>
      <c r="T646" s="30"/>
    </row>
    <row r="647" spans="2:20" ht="13">
      <c r="B647" s="30"/>
      <c r="G647" s="30"/>
      <c r="H647" s="30"/>
      <c r="L647" s="30"/>
      <c r="P647" s="30"/>
      <c r="T647" s="30"/>
    </row>
    <row r="648" spans="2:20" ht="13">
      <c r="B648" s="30"/>
      <c r="G648" s="30"/>
      <c r="H648" s="30"/>
      <c r="L648" s="30"/>
      <c r="P648" s="30"/>
      <c r="T648" s="30"/>
    </row>
    <row r="649" spans="2:20" ht="13">
      <c r="B649" s="30"/>
      <c r="G649" s="30"/>
      <c r="H649" s="30"/>
      <c r="L649" s="30"/>
      <c r="P649" s="30"/>
      <c r="T649" s="30"/>
    </row>
    <row r="650" spans="2:20" ht="13">
      <c r="B650" s="30"/>
      <c r="G650" s="30"/>
      <c r="H650" s="30"/>
      <c r="L650" s="30"/>
      <c r="P650" s="30"/>
      <c r="T650" s="30"/>
    </row>
    <row r="651" spans="2:20" ht="13">
      <c r="B651" s="30"/>
      <c r="G651" s="30"/>
      <c r="H651" s="30"/>
      <c r="L651" s="30"/>
      <c r="P651" s="30"/>
      <c r="T651" s="30"/>
    </row>
    <row r="652" spans="2:20" ht="13">
      <c r="B652" s="30"/>
      <c r="G652" s="30"/>
      <c r="H652" s="30"/>
      <c r="L652" s="30"/>
      <c r="P652" s="30"/>
      <c r="T652" s="30"/>
    </row>
    <row r="653" spans="2:20" ht="13">
      <c r="B653" s="30"/>
      <c r="G653" s="30"/>
      <c r="H653" s="30"/>
      <c r="L653" s="30"/>
      <c r="P653" s="30"/>
      <c r="T653" s="30"/>
    </row>
    <row r="654" spans="2:20" ht="13">
      <c r="B654" s="30"/>
      <c r="G654" s="30"/>
      <c r="H654" s="30"/>
      <c r="L654" s="30"/>
      <c r="P654" s="30"/>
      <c r="T654" s="30"/>
    </row>
    <row r="655" spans="2:20" ht="13">
      <c r="B655" s="30"/>
      <c r="G655" s="30"/>
      <c r="H655" s="30"/>
      <c r="L655" s="30"/>
      <c r="P655" s="30"/>
      <c r="T655" s="30"/>
    </row>
    <row r="656" spans="2:20" ht="13">
      <c r="B656" s="30"/>
      <c r="G656" s="30"/>
      <c r="H656" s="30"/>
      <c r="L656" s="30"/>
      <c r="P656" s="30"/>
      <c r="T656" s="30"/>
    </row>
    <row r="657" spans="2:20" ht="13">
      <c r="B657" s="30"/>
      <c r="G657" s="30"/>
      <c r="H657" s="30"/>
      <c r="L657" s="30"/>
      <c r="P657" s="30"/>
      <c r="T657" s="30"/>
    </row>
    <row r="658" spans="2:20" ht="13">
      <c r="B658" s="30"/>
      <c r="G658" s="30"/>
      <c r="H658" s="30"/>
      <c r="L658" s="30"/>
      <c r="P658" s="30"/>
      <c r="T658" s="30"/>
    </row>
    <row r="659" spans="2:20" ht="13">
      <c r="B659" s="30"/>
      <c r="G659" s="30"/>
      <c r="H659" s="30"/>
      <c r="L659" s="30"/>
      <c r="P659" s="30"/>
      <c r="T659" s="30"/>
    </row>
    <row r="660" spans="2:20" ht="13">
      <c r="B660" s="30"/>
      <c r="G660" s="30"/>
      <c r="H660" s="30"/>
      <c r="L660" s="30"/>
      <c r="P660" s="30"/>
      <c r="T660" s="30"/>
    </row>
    <row r="661" spans="2:20" ht="13">
      <c r="B661" s="30"/>
      <c r="G661" s="30"/>
      <c r="H661" s="30"/>
      <c r="L661" s="30"/>
      <c r="P661" s="30"/>
      <c r="T661" s="30"/>
    </row>
    <row r="662" spans="2:20" ht="13">
      <c r="B662" s="30"/>
      <c r="G662" s="30"/>
      <c r="H662" s="30"/>
      <c r="L662" s="30"/>
      <c r="P662" s="30"/>
      <c r="T662" s="30"/>
    </row>
    <row r="663" spans="2:20" ht="13">
      <c r="B663" s="30"/>
      <c r="G663" s="30"/>
      <c r="H663" s="30"/>
      <c r="L663" s="30"/>
      <c r="P663" s="30"/>
      <c r="T663" s="30"/>
    </row>
    <row r="664" spans="2:20" ht="13">
      <c r="B664" s="30"/>
      <c r="G664" s="30"/>
      <c r="H664" s="30"/>
      <c r="L664" s="30"/>
      <c r="P664" s="30"/>
      <c r="T664" s="30"/>
    </row>
    <row r="665" spans="2:20" ht="13">
      <c r="B665" s="30"/>
      <c r="G665" s="30"/>
      <c r="H665" s="30"/>
      <c r="L665" s="30"/>
      <c r="P665" s="30"/>
      <c r="T665" s="30"/>
    </row>
    <row r="666" spans="2:20" ht="13">
      <c r="B666" s="30"/>
      <c r="G666" s="30"/>
      <c r="H666" s="30"/>
      <c r="L666" s="30"/>
      <c r="P666" s="30"/>
      <c r="T666" s="30"/>
    </row>
    <row r="667" spans="2:20" ht="13">
      <c r="B667" s="30"/>
      <c r="G667" s="30"/>
      <c r="H667" s="30"/>
      <c r="L667" s="30"/>
      <c r="P667" s="30"/>
      <c r="T667" s="30"/>
    </row>
    <row r="668" spans="2:20" ht="13">
      <c r="B668" s="30"/>
      <c r="G668" s="30"/>
      <c r="H668" s="30"/>
      <c r="L668" s="30"/>
      <c r="P668" s="30"/>
      <c r="T668" s="30"/>
    </row>
    <row r="669" spans="2:20" ht="13">
      <c r="B669" s="30"/>
      <c r="G669" s="30"/>
      <c r="H669" s="30"/>
      <c r="L669" s="30"/>
      <c r="P669" s="30"/>
      <c r="T669" s="30"/>
    </row>
    <row r="670" spans="2:20" ht="13">
      <c r="B670" s="30"/>
      <c r="G670" s="30"/>
      <c r="H670" s="30"/>
      <c r="L670" s="30"/>
      <c r="P670" s="30"/>
      <c r="T670" s="30"/>
    </row>
    <row r="671" spans="2:20" ht="13">
      <c r="B671" s="30"/>
      <c r="G671" s="30"/>
      <c r="H671" s="30"/>
      <c r="L671" s="30"/>
      <c r="P671" s="30"/>
      <c r="T671" s="30"/>
    </row>
    <row r="672" spans="2:20" ht="13">
      <c r="B672" s="30"/>
      <c r="G672" s="30"/>
      <c r="H672" s="30"/>
      <c r="L672" s="30"/>
      <c r="P672" s="30"/>
      <c r="T672" s="30"/>
    </row>
    <row r="673" spans="2:20" ht="13">
      <c r="B673" s="30"/>
      <c r="G673" s="30"/>
      <c r="H673" s="30"/>
      <c r="L673" s="30"/>
      <c r="P673" s="30"/>
      <c r="T673" s="30"/>
    </row>
    <row r="674" spans="2:20" ht="13">
      <c r="B674" s="30"/>
      <c r="G674" s="30"/>
      <c r="H674" s="30"/>
      <c r="L674" s="30"/>
      <c r="P674" s="30"/>
      <c r="T674" s="30"/>
    </row>
    <row r="675" spans="2:20" ht="13">
      <c r="B675" s="30"/>
      <c r="G675" s="30"/>
      <c r="H675" s="30"/>
      <c r="L675" s="30"/>
      <c r="P675" s="30"/>
      <c r="T675" s="30"/>
    </row>
    <row r="676" spans="2:20" ht="13">
      <c r="B676" s="30"/>
      <c r="G676" s="30"/>
      <c r="H676" s="30"/>
      <c r="L676" s="30"/>
      <c r="P676" s="30"/>
      <c r="T676" s="30"/>
    </row>
    <row r="677" spans="2:20" ht="13">
      <c r="B677" s="30"/>
      <c r="G677" s="30"/>
      <c r="H677" s="30"/>
      <c r="L677" s="30"/>
      <c r="P677" s="30"/>
      <c r="T677" s="30"/>
    </row>
    <row r="678" spans="2:20" ht="13">
      <c r="B678" s="30"/>
      <c r="G678" s="30"/>
      <c r="H678" s="30"/>
      <c r="L678" s="30"/>
      <c r="P678" s="30"/>
      <c r="T678" s="30"/>
    </row>
    <row r="679" spans="2:20" ht="13">
      <c r="B679" s="30"/>
      <c r="G679" s="30"/>
      <c r="H679" s="30"/>
      <c r="L679" s="30"/>
      <c r="P679" s="30"/>
      <c r="T679" s="30"/>
    </row>
    <row r="680" spans="2:20" ht="13">
      <c r="B680" s="30"/>
      <c r="G680" s="30"/>
      <c r="H680" s="30"/>
      <c r="L680" s="30"/>
      <c r="P680" s="30"/>
      <c r="T680" s="30"/>
    </row>
    <row r="681" spans="2:20" ht="13">
      <c r="B681" s="30"/>
      <c r="G681" s="30"/>
      <c r="H681" s="30"/>
      <c r="L681" s="30"/>
      <c r="P681" s="30"/>
      <c r="T681" s="30"/>
    </row>
    <row r="682" spans="2:20" ht="13">
      <c r="B682" s="30"/>
      <c r="G682" s="30"/>
      <c r="H682" s="30"/>
      <c r="L682" s="30"/>
      <c r="P682" s="30"/>
      <c r="T682" s="30"/>
    </row>
    <row r="683" spans="2:20" ht="13">
      <c r="B683" s="30"/>
      <c r="G683" s="30"/>
      <c r="H683" s="30"/>
      <c r="L683" s="30"/>
      <c r="P683" s="30"/>
      <c r="T683" s="30"/>
    </row>
    <row r="684" spans="2:20" ht="13">
      <c r="B684" s="30"/>
      <c r="G684" s="30"/>
      <c r="H684" s="30"/>
      <c r="L684" s="30"/>
      <c r="P684" s="30"/>
      <c r="T684" s="30"/>
    </row>
    <row r="685" spans="2:20" ht="13">
      <c r="B685" s="30"/>
      <c r="G685" s="30"/>
      <c r="H685" s="30"/>
      <c r="L685" s="30"/>
      <c r="P685" s="30"/>
      <c r="T685" s="30"/>
    </row>
    <row r="686" spans="2:20" ht="13">
      <c r="B686" s="30"/>
      <c r="G686" s="30"/>
      <c r="H686" s="30"/>
      <c r="L686" s="30"/>
      <c r="P686" s="30"/>
      <c r="T686" s="30"/>
    </row>
    <row r="687" spans="2:20" ht="13">
      <c r="B687" s="30"/>
      <c r="G687" s="30"/>
      <c r="H687" s="30"/>
      <c r="L687" s="30"/>
      <c r="P687" s="30"/>
      <c r="T687" s="30"/>
    </row>
    <row r="688" spans="2:20" ht="13">
      <c r="B688" s="30"/>
      <c r="G688" s="30"/>
      <c r="H688" s="30"/>
      <c r="L688" s="30"/>
      <c r="P688" s="30"/>
      <c r="T688" s="30"/>
    </row>
    <row r="689" spans="2:20" ht="13">
      <c r="B689" s="30"/>
      <c r="G689" s="30"/>
      <c r="H689" s="30"/>
      <c r="L689" s="30"/>
      <c r="P689" s="30"/>
      <c r="T689" s="30"/>
    </row>
    <row r="690" spans="2:20" ht="13">
      <c r="B690" s="30"/>
      <c r="G690" s="30"/>
      <c r="H690" s="30"/>
      <c r="L690" s="30"/>
      <c r="P690" s="30"/>
      <c r="T690" s="30"/>
    </row>
    <row r="691" spans="2:20" ht="13">
      <c r="B691" s="30"/>
      <c r="G691" s="30"/>
      <c r="H691" s="30"/>
      <c r="L691" s="30"/>
      <c r="P691" s="30"/>
      <c r="T691" s="30"/>
    </row>
    <row r="692" spans="2:20" ht="13">
      <c r="B692" s="30"/>
      <c r="G692" s="30"/>
      <c r="H692" s="30"/>
      <c r="L692" s="30"/>
      <c r="P692" s="30"/>
      <c r="T692" s="30"/>
    </row>
    <row r="693" spans="2:20" ht="13">
      <c r="B693" s="30"/>
      <c r="G693" s="30"/>
      <c r="H693" s="30"/>
      <c r="L693" s="30"/>
      <c r="P693" s="30"/>
      <c r="T693" s="30"/>
    </row>
    <row r="694" spans="2:20" ht="13">
      <c r="B694" s="30"/>
      <c r="G694" s="30"/>
      <c r="H694" s="30"/>
      <c r="L694" s="30"/>
      <c r="P694" s="30"/>
      <c r="T694" s="30"/>
    </row>
    <row r="695" spans="2:20" ht="13">
      <c r="B695" s="30"/>
      <c r="G695" s="30"/>
      <c r="H695" s="30"/>
      <c r="L695" s="30"/>
      <c r="P695" s="30"/>
      <c r="T695" s="30"/>
    </row>
    <row r="696" spans="2:20" ht="13">
      <c r="B696" s="30"/>
      <c r="G696" s="30"/>
      <c r="H696" s="30"/>
      <c r="L696" s="30"/>
      <c r="P696" s="30"/>
      <c r="T696" s="30"/>
    </row>
    <row r="697" spans="2:20" ht="13">
      <c r="B697" s="30"/>
      <c r="G697" s="30"/>
      <c r="H697" s="30"/>
      <c r="L697" s="30"/>
      <c r="P697" s="30"/>
      <c r="T697" s="30"/>
    </row>
    <row r="698" spans="2:20" ht="13">
      <c r="B698" s="30"/>
      <c r="G698" s="30"/>
      <c r="H698" s="30"/>
      <c r="L698" s="30"/>
      <c r="P698" s="30"/>
      <c r="T698" s="30"/>
    </row>
    <row r="699" spans="2:20" ht="13">
      <c r="B699" s="30"/>
      <c r="G699" s="30"/>
      <c r="H699" s="30"/>
      <c r="L699" s="30"/>
      <c r="P699" s="30"/>
      <c r="T699" s="30"/>
    </row>
    <row r="700" spans="2:20" ht="13">
      <c r="B700" s="30"/>
      <c r="G700" s="30"/>
      <c r="H700" s="30"/>
      <c r="L700" s="30"/>
      <c r="P700" s="30"/>
      <c r="T700" s="30"/>
    </row>
    <row r="701" spans="2:20" ht="13">
      <c r="B701" s="30"/>
      <c r="G701" s="30"/>
      <c r="H701" s="30"/>
      <c r="L701" s="30"/>
      <c r="P701" s="30"/>
      <c r="T701" s="30"/>
    </row>
    <row r="702" spans="2:20" ht="13">
      <c r="B702" s="30"/>
      <c r="G702" s="30"/>
      <c r="H702" s="30"/>
      <c r="L702" s="30"/>
      <c r="P702" s="30"/>
      <c r="T702" s="30"/>
    </row>
    <row r="703" spans="2:20" ht="13">
      <c r="B703" s="30"/>
      <c r="G703" s="30"/>
      <c r="H703" s="30"/>
      <c r="L703" s="30"/>
      <c r="P703" s="30"/>
      <c r="T703" s="30"/>
    </row>
    <row r="704" spans="2:20" ht="13">
      <c r="B704" s="30"/>
      <c r="G704" s="30"/>
      <c r="H704" s="30"/>
      <c r="L704" s="30"/>
      <c r="P704" s="30"/>
      <c r="T704" s="30"/>
    </row>
    <row r="705" spans="2:20" ht="13">
      <c r="B705" s="30"/>
      <c r="G705" s="30"/>
      <c r="H705" s="30"/>
      <c r="L705" s="30"/>
      <c r="P705" s="30"/>
      <c r="T705" s="30"/>
    </row>
    <row r="706" spans="2:20" ht="13">
      <c r="B706" s="30"/>
      <c r="G706" s="30"/>
      <c r="H706" s="30"/>
      <c r="L706" s="30"/>
      <c r="P706" s="30"/>
      <c r="T706" s="30"/>
    </row>
    <row r="707" spans="2:20" ht="13">
      <c r="B707" s="30"/>
      <c r="G707" s="30"/>
      <c r="H707" s="30"/>
      <c r="L707" s="30"/>
      <c r="P707" s="30"/>
      <c r="T707" s="30"/>
    </row>
    <row r="708" spans="2:20" ht="13">
      <c r="B708" s="30"/>
      <c r="G708" s="30"/>
      <c r="H708" s="30"/>
      <c r="L708" s="30"/>
      <c r="P708" s="30"/>
      <c r="T708" s="30"/>
    </row>
    <row r="709" spans="2:20" ht="13">
      <c r="B709" s="30"/>
      <c r="G709" s="30"/>
      <c r="H709" s="30"/>
      <c r="L709" s="30"/>
      <c r="P709" s="30"/>
      <c r="T709" s="30"/>
    </row>
    <row r="710" spans="2:20" ht="13">
      <c r="B710" s="30"/>
      <c r="G710" s="30"/>
      <c r="H710" s="30"/>
      <c r="L710" s="30"/>
      <c r="P710" s="30"/>
      <c r="T710" s="30"/>
    </row>
    <row r="711" spans="2:20" ht="13">
      <c r="B711" s="30"/>
      <c r="G711" s="30"/>
      <c r="H711" s="30"/>
      <c r="L711" s="30"/>
      <c r="P711" s="30"/>
      <c r="T711" s="30"/>
    </row>
    <row r="712" spans="2:20" ht="13">
      <c r="B712" s="30"/>
      <c r="G712" s="30"/>
      <c r="H712" s="30"/>
      <c r="L712" s="30"/>
      <c r="P712" s="30"/>
      <c r="T712" s="30"/>
    </row>
    <row r="713" spans="2:20" ht="13">
      <c r="B713" s="30"/>
      <c r="G713" s="30"/>
      <c r="H713" s="30"/>
      <c r="L713" s="30"/>
      <c r="P713" s="30"/>
      <c r="T713" s="30"/>
    </row>
    <row r="714" spans="2:20" ht="13">
      <c r="B714" s="30"/>
      <c r="G714" s="30"/>
      <c r="H714" s="30"/>
      <c r="L714" s="30"/>
      <c r="P714" s="30"/>
      <c r="T714" s="30"/>
    </row>
    <row r="715" spans="2:20" ht="13">
      <c r="B715" s="30"/>
      <c r="G715" s="30"/>
      <c r="H715" s="30"/>
      <c r="L715" s="30"/>
      <c r="P715" s="30"/>
      <c r="T715" s="30"/>
    </row>
    <row r="716" spans="2:20" ht="13">
      <c r="B716" s="30"/>
      <c r="G716" s="30"/>
      <c r="H716" s="30"/>
      <c r="L716" s="30"/>
      <c r="P716" s="30"/>
      <c r="T716" s="30"/>
    </row>
    <row r="717" spans="2:20" ht="13">
      <c r="B717" s="30"/>
      <c r="G717" s="30"/>
      <c r="H717" s="30"/>
      <c r="L717" s="30"/>
      <c r="P717" s="30"/>
      <c r="T717" s="30"/>
    </row>
    <row r="718" spans="2:20" ht="13">
      <c r="B718" s="30"/>
      <c r="G718" s="30"/>
      <c r="H718" s="30"/>
      <c r="L718" s="30"/>
      <c r="P718" s="30"/>
      <c r="T718" s="30"/>
    </row>
    <row r="719" spans="2:20" ht="13">
      <c r="B719" s="30"/>
      <c r="G719" s="30"/>
      <c r="H719" s="30"/>
      <c r="L719" s="30"/>
      <c r="P719" s="30"/>
      <c r="T719" s="30"/>
    </row>
    <row r="720" spans="2:20" ht="13">
      <c r="B720" s="30"/>
      <c r="G720" s="30"/>
      <c r="H720" s="30"/>
      <c r="L720" s="30"/>
      <c r="P720" s="30"/>
      <c r="T720" s="30"/>
    </row>
    <row r="721" spans="2:20" ht="13">
      <c r="B721" s="30"/>
      <c r="G721" s="30"/>
      <c r="H721" s="30"/>
      <c r="L721" s="30"/>
      <c r="P721" s="30"/>
      <c r="T721" s="30"/>
    </row>
    <row r="722" spans="2:20" ht="13">
      <c r="B722" s="30"/>
      <c r="G722" s="30"/>
      <c r="H722" s="30"/>
      <c r="L722" s="30"/>
      <c r="P722" s="30"/>
      <c r="T722" s="30"/>
    </row>
    <row r="723" spans="2:20" ht="13">
      <c r="B723" s="30"/>
      <c r="G723" s="30"/>
      <c r="H723" s="30"/>
      <c r="L723" s="30"/>
      <c r="P723" s="30"/>
      <c r="T723" s="30"/>
    </row>
    <row r="724" spans="2:20" ht="13">
      <c r="B724" s="30"/>
      <c r="G724" s="30"/>
      <c r="H724" s="30"/>
      <c r="L724" s="30"/>
      <c r="P724" s="30"/>
      <c r="T724" s="30"/>
    </row>
    <row r="725" spans="2:20" ht="13">
      <c r="B725" s="30"/>
      <c r="G725" s="30"/>
      <c r="H725" s="30"/>
      <c r="L725" s="30"/>
      <c r="P725" s="30"/>
      <c r="T725" s="30"/>
    </row>
    <row r="726" spans="2:20" ht="13">
      <c r="B726" s="30"/>
      <c r="G726" s="30"/>
      <c r="H726" s="30"/>
      <c r="L726" s="30"/>
      <c r="P726" s="30"/>
      <c r="T726" s="30"/>
    </row>
    <row r="727" spans="2:20" ht="13">
      <c r="B727" s="30"/>
      <c r="G727" s="30"/>
      <c r="H727" s="30"/>
      <c r="L727" s="30"/>
      <c r="P727" s="30"/>
      <c r="T727" s="30"/>
    </row>
    <row r="728" spans="2:20" ht="13">
      <c r="B728" s="30"/>
      <c r="G728" s="30"/>
      <c r="H728" s="30"/>
      <c r="L728" s="30"/>
      <c r="P728" s="30"/>
      <c r="T728" s="30"/>
    </row>
    <row r="729" spans="2:20" ht="13">
      <c r="B729" s="30"/>
      <c r="G729" s="30"/>
      <c r="H729" s="30"/>
      <c r="L729" s="30"/>
      <c r="P729" s="30"/>
      <c r="T729" s="30"/>
    </row>
    <row r="730" spans="2:20" ht="13">
      <c r="B730" s="30"/>
      <c r="G730" s="30"/>
      <c r="H730" s="30"/>
      <c r="L730" s="30"/>
      <c r="P730" s="30"/>
      <c r="T730" s="30"/>
    </row>
    <row r="731" spans="2:20" ht="13">
      <c r="B731" s="30"/>
      <c r="G731" s="30"/>
      <c r="H731" s="30"/>
      <c r="L731" s="30"/>
      <c r="P731" s="30"/>
      <c r="T731" s="30"/>
    </row>
    <row r="732" spans="2:20" ht="13">
      <c r="B732" s="30"/>
      <c r="G732" s="30"/>
      <c r="H732" s="30"/>
      <c r="L732" s="30"/>
      <c r="P732" s="30"/>
      <c r="T732" s="30"/>
    </row>
    <row r="733" spans="2:20" ht="13">
      <c r="B733" s="30"/>
      <c r="G733" s="30"/>
      <c r="H733" s="30"/>
      <c r="L733" s="30"/>
      <c r="P733" s="30"/>
      <c r="T733" s="30"/>
    </row>
    <row r="734" spans="2:20" ht="13">
      <c r="B734" s="30"/>
      <c r="G734" s="30"/>
      <c r="H734" s="30"/>
      <c r="L734" s="30"/>
      <c r="P734" s="30"/>
      <c r="T734" s="30"/>
    </row>
    <row r="735" spans="2:20" ht="13">
      <c r="B735" s="30"/>
      <c r="G735" s="30"/>
      <c r="H735" s="30"/>
      <c r="L735" s="30"/>
      <c r="P735" s="30"/>
      <c r="T735" s="30"/>
    </row>
    <row r="736" spans="2:20" ht="13">
      <c r="B736" s="30"/>
      <c r="G736" s="30"/>
      <c r="H736" s="30"/>
      <c r="L736" s="30"/>
      <c r="P736" s="30"/>
      <c r="T736" s="30"/>
    </row>
    <row r="737" spans="2:20" ht="13">
      <c r="B737" s="30"/>
      <c r="G737" s="30"/>
      <c r="H737" s="30"/>
      <c r="L737" s="30"/>
      <c r="P737" s="30"/>
      <c r="T737" s="30"/>
    </row>
    <row r="738" spans="2:20" ht="13">
      <c r="B738" s="30"/>
      <c r="G738" s="30"/>
      <c r="H738" s="30"/>
      <c r="L738" s="30"/>
      <c r="P738" s="30"/>
      <c r="T738" s="30"/>
    </row>
    <row r="739" spans="2:20" ht="13">
      <c r="B739" s="30"/>
      <c r="G739" s="30"/>
      <c r="H739" s="30"/>
      <c r="L739" s="30"/>
      <c r="P739" s="30"/>
      <c r="T739" s="30"/>
    </row>
    <row r="740" spans="2:20" ht="13">
      <c r="B740" s="30"/>
      <c r="G740" s="30"/>
      <c r="H740" s="30"/>
      <c r="L740" s="30"/>
      <c r="P740" s="30"/>
      <c r="T740" s="30"/>
    </row>
    <row r="741" spans="2:20" ht="13">
      <c r="B741" s="30"/>
      <c r="G741" s="30"/>
      <c r="H741" s="30"/>
      <c r="L741" s="30"/>
      <c r="P741" s="30"/>
      <c r="T741" s="30"/>
    </row>
    <row r="742" spans="2:20" ht="13">
      <c r="B742" s="30"/>
      <c r="G742" s="30"/>
      <c r="H742" s="30"/>
      <c r="L742" s="30"/>
      <c r="P742" s="30"/>
      <c r="T742" s="30"/>
    </row>
    <row r="743" spans="2:20" ht="13">
      <c r="B743" s="30"/>
      <c r="G743" s="30"/>
      <c r="H743" s="30"/>
      <c r="L743" s="30"/>
      <c r="P743" s="30"/>
      <c r="T743" s="30"/>
    </row>
    <row r="744" spans="2:20" ht="13">
      <c r="B744" s="30"/>
      <c r="G744" s="30"/>
      <c r="H744" s="30"/>
      <c r="L744" s="30"/>
      <c r="P744" s="30"/>
      <c r="T744" s="30"/>
    </row>
    <row r="745" spans="2:20" ht="13">
      <c r="B745" s="30"/>
      <c r="G745" s="30"/>
      <c r="H745" s="30"/>
      <c r="L745" s="30"/>
      <c r="P745" s="30"/>
      <c r="T745" s="30"/>
    </row>
    <row r="746" spans="2:20" ht="13">
      <c r="B746" s="30"/>
      <c r="G746" s="30"/>
      <c r="H746" s="30"/>
      <c r="L746" s="30"/>
      <c r="P746" s="30"/>
      <c r="T746" s="30"/>
    </row>
    <row r="747" spans="2:20" ht="13">
      <c r="B747" s="30"/>
      <c r="G747" s="30"/>
      <c r="H747" s="30"/>
      <c r="L747" s="30"/>
      <c r="P747" s="30"/>
      <c r="T747" s="30"/>
    </row>
    <row r="748" spans="2:20" ht="13">
      <c r="B748" s="30"/>
      <c r="G748" s="30"/>
      <c r="H748" s="30"/>
      <c r="L748" s="30"/>
      <c r="P748" s="30"/>
      <c r="T748" s="30"/>
    </row>
    <row r="749" spans="2:20" ht="13">
      <c r="B749" s="30"/>
      <c r="G749" s="30"/>
      <c r="H749" s="30"/>
      <c r="L749" s="30"/>
      <c r="P749" s="30"/>
      <c r="T749" s="30"/>
    </row>
    <row r="750" spans="2:20" ht="13">
      <c r="B750" s="30"/>
      <c r="G750" s="30"/>
      <c r="H750" s="30"/>
      <c r="L750" s="30"/>
      <c r="P750" s="30"/>
      <c r="T750" s="30"/>
    </row>
    <row r="751" spans="2:20" ht="13">
      <c r="B751" s="30"/>
      <c r="G751" s="30"/>
      <c r="H751" s="30"/>
      <c r="L751" s="30"/>
      <c r="P751" s="30"/>
      <c r="T751" s="30"/>
    </row>
    <row r="752" spans="2:20" ht="13">
      <c r="B752" s="30"/>
      <c r="G752" s="30"/>
      <c r="H752" s="30"/>
      <c r="L752" s="30"/>
      <c r="P752" s="30"/>
      <c r="T752" s="30"/>
    </row>
    <row r="753" spans="2:20" ht="13">
      <c r="B753" s="30"/>
      <c r="G753" s="30"/>
      <c r="H753" s="30"/>
      <c r="L753" s="30"/>
      <c r="P753" s="30"/>
      <c r="T753" s="30"/>
    </row>
    <row r="754" spans="2:20" ht="13">
      <c r="B754" s="30"/>
      <c r="G754" s="30"/>
      <c r="H754" s="30"/>
      <c r="L754" s="30"/>
      <c r="P754" s="30"/>
      <c r="T754" s="30"/>
    </row>
    <row r="755" spans="2:20" ht="13">
      <c r="B755" s="30"/>
      <c r="G755" s="30"/>
      <c r="H755" s="30"/>
      <c r="L755" s="30"/>
      <c r="P755" s="30"/>
      <c r="T755" s="30"/>
    </row>
    <row r="756" spans="2:20" ht="13">
      <c r="B756" s="30"/>
      <c r="G756" s="30"/>
      <c r="H756" s="30"/>
      <c r="L756" s="30"/>
      <c r="P756" s="30"/>
      <c r="T756" s="30"/>
    </row>
    <row r="757" spans="2:20" ht="13">
      <c r="B757" s="30"/>
      <c r="G757" s="30"/>
      <c r="H757" s="30"/>
      <c r="L757" s="30"/>
      <c r="P757" s="30"/>
      <c r="T757" s="30"/>
    </row>
    <row r="758" spans="2:20" ht="13">
      <c r="B758" s="30"/>
      <c r="G758" s="30"/>
      <c r="H758" s="30"/>
      <c r="L758" s="30"/>
      <c r="P758" s="30"/>
      <c r="T758" s="30"/>
    </row>
    <row r="759" spans="2:20" ht="13">
      <c r="B759" s="30"/>
      <c r="G759" s="30"/>
      <c r="H759" s="30"/>
      <c r="L759" s="30"/>
      <c r="P759" s="30"/>
      <c r="T759" s="30"/>
    </row>
    <row r="760" spans="2:20" ht="13">
      <c r="B760" s="30"/>
      <c r="G760" s="30"/>
      <c r="H760" s="30"/>
      <c r="L760" s="30"/>
      <c r="P760" s="30"/>
      <c r="T760" s="30"/>
    </row>
    <row r="761" spans="2:20" ht="13">
      <c r="B761" s="30"/>
      <c r="G761" s="30"/>
      <c r="H761" s="30"/>
      <c r="L761" s="30"/>
      <c r="P761" s="30"/>
      <c r="T761" s="30"/>
    </row>
    <row r="762" spans="2:20" ht="13">
      <c r="B762" s="30"/>
      <c r="G762" s="30"/>
      <c r="H762" s="30"/>
      <c r="L762" s="30"/>
      <c r="P762" s="30"/>
      <c r="T762" s="30"/>
    </row>
    <row r="763" spans="2:20" ht="13">
      <c r="B763" s="30"/>
      <c r="G763" s="30"/>
      <c r="H763" s="30"/>
      <c r="L763" s="30"/>
      <c r="P763" s="30"/>
      <c r="T763" s="30"/>
    </row>
    <row r="764" spans="2:20" ht="13">
      <c r="B764" s="30"/>
      <c r="G764" s="30"/>
      <c r="H764" s="30"/>
      <c r="L764" s="30"/>
      <c r="P764" s="30"/>
      <c r="T764" s="30"/>
    </row>
    <row r="765" spans="2:20" ht="13">
      <c r="B765" s="30"/>
      <c r="G765" s="30"/>
      <c r="H765" s="30"/>
      <c r="L765" s="30"/>
      <c r="P765" s="30"/>
      <c r="T765" s="30"/>
    </row>
    <row r="766" spans="2:20" ht="13">
      <c r="B766" s="30"/>
      <c r="G766" s="30"/>
      <c r="H766" s="30"/>
      <c r="L766" s="30"/>
      <c r="P766" s="30"/>
      <c r="T766" s="30"/>
    </row>
    <row r="767" spans="2:20" ht="13">
      <c r="B767" s="30"/>
      <c r="G767" s="30"/>
      <c r="H767" s="30"/>
      <c r="L767" s="30"/>
      <c r="P767" s="30"/>
      <c r="T767" s="30"/>
    </row>
    <row r="768" spans="2:20" ht="13">
      <c r="B768" s="30"/>
      <c r="G768" s="30"/>
      <c r="H768" s="30"/>
      <c r="L768" s="30"/>
      <c r="P768" s="30"/>
      <c r="T768" s="30"/>
    </row>
    <row r="769" spans="2:20" ht="13">
      <c r="B769" s="30"/>
      <c r="G769" s="30"/>
      <c r="H769" s="30"/>
      <c r="L769" s="30"/>
      <c r="P769" s="30"/>
      <c r="T769" s="30"/>
    </row>
    <row r="770" spans="2:20" ht="13">
      <c r="B770" s="30"/>
      <c r="G770" s="30"/>
      <c r="H770" s="30"/>
      <c r="L770" s="30"/>
      <c r="P770" s="30"/>
      <c r="T770" s="30"/>
    </row>
    <row r="771" spans="2:20" ht="13">
      <c r="B771" s="30"/>
      <c r="G771" s="30"/>
      <c r="H771" s="30"/>
      <c r="L771" s="30"/>
      <c r="P771" s="30"/>
      <c r="T771" s="30"/>
    </row>
    <row r="772" spans="2:20" ht="13">
      <c r="B772" s="30"/>
      <c r="G772" s="30"/>
      <c r="H772" s="30"/>
      <c r="L772" s="30"/>
      <c r="P772" s="30"/>
      <c r="T772" s="30"/>
    </row>
    <row r="773" spans="2:20" ht="13">
      <c r="B773" s="30"/>
      <c r="G773" s="30"/>
      <c r="H773" s="30"/>
      <c r="L773" s="30"/>
      <c r="P773" s="30"/>
      <c r="T773" s="30"/>
    </row>
    <row r="774" spans="2:20" ht="13">
      <c r="B774" s="30"/>
      <c r="G774" s="30"/>
      <c r="H774" s="30"/>
      <c r="L774" s="30"/>
      <c r="P774" s="30"/>
      <c r="T774" s="30"/>
    </row>
    <row r="775" spans="2:20" ht="13">
      <c r="B775" s="30"/>
      <c r="G775" s="30"/>
      <c r="H775" s="30"/>
      <c r="L775" s="30"/>
      <c r="P775" s="30"/>
      <c r="T775" s="30"/>
    </row>
    <row r="776" spans="2:20" ht="13">
      <c r="B776" s="30"/>
      <c r="G776" s="30"/>
      <c r="H776" s="30"/>
      <c r="L776" s="30"/>
      <c r="P776" s="30"/>
      <c r="T776" s="30"/>
    </row>
    <row r="777" spans="2:20" ht="13">
      <c r="B777" s="30"/>
      <c r="G777" s="30"/>
      <c r="H777" s="30"/>
      <c r="L777" s="30"/>
      <c r="P777" s="30"/>
      <c r="T777" s="30"/>
    </row>
    <row r="778" spans="2:20" ht="13">
      <c r="B778" s="30"/>
      <c r="G778" s="30"/>
      <c r="H778" s="30"/>
      <c r="L778" s="30"/>
      <c r="P778" s="30"/>
      <c r="T778" s="30"/>
    </row>
    <row r="779" spans="2:20" ht="13">
      <c r="B779" s="30"/>
      <c r="G779" s="30"/>
      <c r="H779" s="30"/>
      <c r="L779" s="30"/>
      <c r="P779" s="30"/>
      <c r="T779" s="30"/>
    </row>
    <row r="780" spans="2:20" ht="13">
      <c r="B780" s="30"/>
      <c r="G780" s="30"/>
      <c r="H780" s="30"/>
      <c r="L780" s="30"/>
      <c r="P780" s="30"/>
      <c r="T780" s="30"/>
    </row>
    <row r="781" spans="2:20" ht="13">
      <c r="B781" s="30"/>
      <c r="G781" s="30"/>
      <c r="H781" s="30"/>
      <c r="L781" s="30"/>
      <c r="P781" s="30"/>
      <c r="T781" s="30"/>
    </row>
    <row r="782" spans="2:20" ht="13">
      <c r="B782" s="30"/>
      <c r="G782" s="30"/>
      <c r="H782" s="30"/>
      <c r="L782" s="30"/>
      <c r="P782" s="30"/>
      <c r="T782" s="30"/>
    </row>
    <row r="783" spans="2:20" ht="13">
      <c r="B783" s="30"/>
      <c r="G783" s="30"/>
      <c r="H783" s="30"/>
      <c r="L783" s="30"/>
      <c r="P783" s="30"/>
      <c r="T783" s="30"/>
    </row>
    <row r="784" spans="2:20" ht="13">
      <c r="B784" s="30"/>
      <c r="G784" s="30"/>
      <c r="H784" s="30"/>
      <c r="L784" s="30"/>
      <c r="P784" s="30"/>
      <c r="T784" s="30"/>
    </row>
    <row r="785" spans="2:20" ht="13">
      <c r="B785" s="30"/>
      <c r="G785" s="30"/>
      <c r="H785" s="30"/>
      <c r="L785" s="30"/>
      <c r="P785" s="30"/>
      <c r="T785" s="30"/>
    </row>
    <row r="786" spans="2:20" ht="13">
      <c r="B786" s="30"/>
      <c r="G786" s="30"/>
      <c r="H786" s="30"/>
      <c r="L786" s="30"/>
      <c r="P786" s="30"/>
      <c r="T786" s="30"/>
    </row>
    <row r="787" spans="2:20" ht="13">
      <c r="B787" s="30"/>
      <c r="G787" s="30"/>
      <c r="H787" s="30"/>
      <c r="L787" s="30"/>
      <c r="P787" s="30"/>
      <c r="T787" s="30"/>
    </row>
    <row r="788" spans="2:20" ht="13">
      <c r="B788" s="30"/>
      <c r="G788" s="30"/>
      <c r="H788" s="30"/>
      <c r="L788" s="30"/>
      <c r="P788" s="30"/>
      <c r="T788" s="30"/>
    </row>
    <row r="789" spans="2:20" ht="13">
      <c r="B789" s="30"/>
      <c r="G789" s="30"/>
      <c r="H789" s="30"/>
      <c r="L789" s="30"/>
      <c r="P789" s="30"/>
      <c r="T789" s="30"/>
    </row>
    <row r="790" spans="2:20" ht="13">
      <c r="B790" s="30"/>
      <c r="G790" s="30"/>
      <c r="H790" s="30"/>
      <c r="L790" s="30"/>
      <c r="P790" s="30"/>
      <c r="T790" s="30"/>
    </row>
    <row r="791" spans="2:20" ht="13">
      <c r="B791" s="30"/>
      <c r="G791" s="30"/>
      <c r="H791" s="30"/>
      <c r="L791" s="30"/>
      <c r="P791" s="30"/>
      <c r="T791" s="30"/>
    </row>
    <row r="792" spans="2:20" ht="13">
      <c r="B792" s="30"/>
      <c r="G792" s="30"/>
      <c r="H792" s="30"/>
      <c r="L792" s="30"/>
      <c r="P792" s="30"/>
      <c r="T792" s="30"/>
    </row>
    <row r="793" spans="2:20" ht="13">
      <c r="B793" s="30"/>
      <c r="G793" s="30"/>
      <c r="H793" s="30"/>
      <c r="L793" s="30"/>
      <c r="P793" s="30"/>
      <c r="T793" s="30"/>
    </row>
    <row r="794" spans="2:20" ht="13">
      <c r="B794" s="30"/>
      <c r="G794" s="30"/>
      <c r="H794" s="30"/>
      <c r="L794" s="30"/>
      <c r="P794" s="30"/>
      <c r="T794" s="30"/>
    </row>
    <row r="795" spans="2:20" ht="13">
      <c r="B795" s="30"/>
      <c r="G795" s="30"/>
      <c r="H795" s="30"/>
      <c r="L795" s="30"/>
      <c r="P795" s="30"/>
      <c r="T795" s="30"/>
    </row>
    <row r="796" spans="2:20" ht="13">
      <c r="B796" s="30"/>
      <c r="G796" s="30"/>
      <c r="H796" s="30"/>
      <c r="L796" s="30"/>
      <c r="P796" s="30"/>
      <c r="T796" s="30"/>
    </row>
    <row r="797" spans="2:20" ht="13">
      <c r="B797" s="30"/>
      <c r="G797" s="30"/>
      <c r="H797" s="30"/>
      <c r="L797" s="30"/>
      <c r="P797" s="30"/>
      <c r="T797" s="30"/>
    </row>
    <row r="798" spans="2:20" ht="13">
      <c r="B798" s="30"/>
      <c r="G798" s="30"/>
      <c r="H798" s="30"/>
      <c r="L798" s="30"/>
      <c r="P798" s="30"/>
      <c r="T798" s="30"/>
    </row>
    <row r="799" spans="2:20" ht="13">
      <c r="B799" s="30"/>
      <c r="G799" s="30"/>
      <c r="H799" s="30"/>
      <c r="L799" s="30"/>
      <c r="P799" s="30"/>
      <c r="T799" s="30"/>
    </row>
    <row r="800" spans="2:20" ht="13">
      <c r="B800" s="30"/>
      <c r="G800" s="30"/>
      <c r="H800" s="30"/>
      <c r="L800" s="30"/>
      <c r="P800" s="30"/>
      <c r="T800" s="30"/>
    </row>
    <row r="801" spans="2:20" ht="13">
      <c r="B801" s="30"/>
      <c r="G801" s="30"/>
      <c r="H801" s="30"/>
      <c r="L801" s="30"/>
      <c r="P801" s="30"/>
      <c r="T801" s="30"/>
    </row>
    <row r="802" spans="2:20" ht="13">
      <c r="B802" s="30"/>
      <c r="G802" s="30"/>
      <c r="H802" s="30"/>
      <c r="L802" s="30"/>
      <c r="P802" s="30"/>
      <c r="T802" s="30"/>
    </row>
    <row r="803" spans="2:20" ht="13">
      <c r="B803" s="30"/>
      <c r="G803" s="30"/>
      <c r="H803" s="30"/>
      <c r="L803" s="30"/>
      <c r="P803" s="30"/>
      <c r="T803" s="30"/>
    </row>
    <row r="804" spans="2:20" ht="13">
      <c r="B804" s="30"/>
      <c r="G804" s="30"/>
      <c r="H804" s="30"/>
      <c r="L804" s="30"/>
      <c r="P804" s="30"/>
      <c r="T804" s="30"/>
    </row>
    <row r="805" spans="2:20" ht="13">
      <c r="B805" s="30"/>
      <c r="G805" s="30"/>
      <c r="H805" s="30"/>
      <c r="L805" s="30"/>
      <c r="P805" s="30"/>
      <c r="T805" s="30"/>
    </row>
    <row r="806" spans="2:20" ht="13">
      <c r="B806" s="30"/>
      <c r="G806" s="30"/>
      <c r="H806" s="30"/>
      <c r="L806" s="30"/>
      <c r="P806" s="30"/>
      <c r="T806" s="30"/>
    </row>
    <row r="807" spans="2:20" ht="13">
      <c r="B807" s="30"/>
      <c r="G807" s="30"/>
      <c r="H807" s="30"/>
      <c r="L807" s="30"/>
      <c r="P807" s="30"/>
      <c r="T807" s="30"/>
    </row>
    <row r="808" spans="2:20" ht="13">
      <c r="B808" s="30"/>
      <c r="G808" s="30"/>
      <c r="H808" s="30"/>
      <c r="L808" s="30"/>
      <c r="P808" s="30"/>
      <c r="T808" s="30"/>
    </row>
    <row r="809" spans="2:20" ht="13">
      <c r="B809" s="30"/>
      <c r="G809" s="30"/>
      <c r="H809" s="30"/>
      <c r="L809" s="30"/>
      <c r="P809" s="30"/>
      <c r="T809" s="30"/>
    </row>
    <row r="810" spans="2:20" ht="13">
      <c r="B810" s="30"/>
      <c r="G810" s="30"/>
      <c r="H810" s="30"/>
      <c r="L810" s="30"/>
      <c r="P810" s="30"/>
      <c r="T810" s="30"/>
    </row>
    <row r="811" spans="2:20" ht="13">
      <c r="B811" s="30"/>
      <c r="G811" s="30"/>
      <c r="H811" s="30"/>
      <c r="L811" s="30"/>
      <c r="P811" s="30"/>
      <c r="T811" s="30"/>
    </row>
    <row r="812" spans="2:20" ht="13">
      <c r="B812" s="30"/>
      <c r="G812" s="30"/>
      <c r="H812" s="30"/>
      <c r="L812" s="30"/>
      <c r="P812" s="30"/>
      <c r="T812" s="30"/>
    </row>
    <row r="813" spans="2:20" ht="13">
      <c r="B813" s="30"/>
      <c r="G813" s="30"/>
      <c r="H813" s="30"/>
      <c r="L813" s="30"/>
      <c r="P813" s="30"/>
      <c r="T813" s="30"/>
    </row>
    <row r="814" spans="2:20" ht="13">
      <c r="B814" s="30"/>
      <c r="G814" s="30"/>
      <c r="H814" s="30"/>
      <c r="L814" s="30"/>
      <c r="P814" s="30"/>
      <c r="T814" s="30"/>
    </row>
    <row r="815" spans="2:20" ht="13">
      <c r="B815" s="30"/>
      <c r="G815" s="30"/>
      <c r="H815" s="30"/>
      <c r="L815" s="30"/>
      <c r="P815" s="30"/>
      <c r="T815" s="30"/>
    </row>
    <row r="816" spans="2:20" ht="13">
      <c r="B816" s="30"/>
      <c r="G816" s="30"/>
      <c r="H816" s="30"/>
      <c r="L816" s="30"/>
      <c r="P816" s="30"/>
      <c r="T816" s="30"/>
    </row>
    <row r="817" spans="2:20" ht="13">
      <c r="B817" s="30"/>
      <c r="G817" s="30"/>
      <c r="H817" s="30"/>
      <c r="L817" s="30"/>
      <c r="P817" s="30"/>
      <c r="T817" s="30"/>
    </row>
    <row r="818" spans="2:20" ht="13">
      <c r="B818" s="30"/>
      <c r="G818" s="30"/>
      <c r="H818" s="30"/>
      <c r="L818" s="30"/>
      <c r="P818" s="30"/>
      <c r="T818" s="30"/>
    </row>
    <row r="819" spans="2:20" ht="13">
      <c r="B819" s="30"/>
      <c r="G819" s="30"/>
      <c r="H819" s="30"/>
      <c r="L819" s="30"/>
      <c r="P819" s="30"/>
      <c r="T819" s="30"/>
    </row>
    <row r="820" spans="2:20" ht="13">
      <c r="B820" s="30"/>
      <c r="G820" s="30"/>
      <c r="H820" s="30"/>
      <c r="L820" s="30"/>
      <c r="P820" s="30"/>
      <c r="T820" s="30"/>
    </row>
    <row r="821" spans="2:20" ht="13">
      <c r="B821" s="30"/>
      <c r="G821" s="30"/>
      <c r="H821" s="30"/>
      <c r="L821" s="30"/>
      <c r="P821" s="30"/>
      <c r="T821" s="30"/>
    </row>
    <row r="822" spans="2:20" ht="13">
      <c r="B822" s="30"/>
      <c r="G822" s="30"/>
      <c r="H822" s="30"/>
      <c r="L822" s="30"/>
      <c r="P822" s="30"/>
      <c r="T822" s="30"/>
    </row>
    <row r="823" spans="2:20" ht="13">
      <c r="B823" s="30"/>
      <c r="G823" s="30"/>
      <c r="H823" s="30"/>
      <c r="L823" s="30"/>
      <c r="P823" s="30"/>
      <c r="T823" s="30"/>
    </row>
    <row r="824" spans="2:20" ht="13">
      <c r="B824" s="30"/>
      <c r="G824" s="30"/>
      <c r="H824" s="30"/>
      <c r="L824" s="30"/>
      <c r="P824" s="30"/>
      <c r="T824" s="30"/>
    </row>
    <row r="825" spans="2:20" ht="13">
      <c r="B825" s="30"/>
      <c r="G825" s="30"/>
      <c r="H825" s="30"/>
      <c r="L825" s="30"/>
      <c r="P825" s="30"/>
      <c r="T825" s="30"/>
    </row>
    <row r="826" spans="2:20" ht="13">
      <c r="B826" s="30"/>
      <c r="G826" s="30"/>
      <c r="H826" s="30"/>
      <c r="L826" s="30"/>
      <c r="P826" s="30"/>
      <c r="T826" s="30"/>
    </row>
    <row r="827" spans="2:20" ht="13">
      <c r="B827" s="30"/>
      <c r="G827" s="30"/>
      <c r="H827" s="30"/>
      <c r="L827" s="30"/>
      <c r="P827" s="30"/>
      <c r="T827" s="30"/>
    </row>
    <row r="828" spans="2:20" ht="13">
      <c r="B828" s="30"/>
      <c r="G828" s="30"/>
      <c r="H828" s="30"/>
      <c r="L828" s="30"/>
      <c r="P828" s="30"/>
      <c r="T828" s="30"/>
    </row>
    <row r="829" spans="2:20" ht="13">
      <c r="B829" s="30"/>
      <c r="G829" s="30"/>
      <c r="H829" s="30"/>
      <c r="L829" s="30"/>
      <c r="P829" s="30"/>
      <c r="T829" s="30"/>
    </row>
    <row r="830" spans="2:20" ht="13">
      <c r="B830" s="30"/>
      <c r="G830" s="30"/>
      <c r="H830" s="30"/>
      <c r="L830" s="30"/>
      <c r="P830" s="30"/>
      <c r="T830" s="30"/>
    </row>
    <row r="831" spans="2:20" ht="13">
      <c r="B831" s="30"/>
      <c r="G831" s="30"/>
      <c r="H831" s="30"/>
      <c r="L831" s="30"/>
      <c r="P831" s="30"/>
      <c r="T831" s="30"/>
    </row>
    <row r="832" spans="2:20" ht="13">
      <c r="B832" s="30"/>
      <c r="G832" s="30"/>
      <c r="H832" s="30"/>
      <c r="L832" s="30"/>
      <c r="P832" s="30"/>
      <c r="T832" s="30"/>
    </row>
    <row r="833" spans="2:20" ht="13">
      <c r="B833" s="30"/>
      <c r="G833" s="30"/>
      <c r="H833" s="30"/>
      <c r="L833" s="30"/>
      <c r="P833" s="30"/>
      <c r="T833" s="30"/>
    </row>
    <row r="834" spans="2:20" ht="13">
      <c r="B834" s="30"/>
      <c r="G834" s="30"/>
      <c r="H834" s="30"/>
      <c r="L834" s="30"/>
      <c r="P834" s="30"/>
      <c r="T834" s="30"/>
    </row>
    <row r="835" spans="2:20" ht="13">
      <c r="B835" s="30"/>
      <c r="G835" s="30"/>
      <c r="H835" s="30"/>
      <c r="L835" s="30"/>
      <c r="P835" s="30"/>
      <c r="T835" s="30"/>
    </row>
    <row r="836" spans="2:20" ht="13">
      <c r="B836" s="30"/>
      <c r="G836" s="30"/>
      <c r="H836" s="30"/>
      <c r="L836" s="30"/>
      <c r="P836" s="30"/>
      <c r="T836" s="30"/>
    </row>
    <row r="837" spans="2:20" ht="13">
      <c r="B837" s="30"/>
      <c r="G837" s="30"/>
      <c r="H837" s="30"/>
      <c r="L837" s="30"/>
      <c r="P837" s="30"/>
      <c r="T837" s="30"/>
    </row>
    <row r="838" spans="2:20" ht="13">
      <c r="B838" s="30"/>
      <c r="G838" s="30"/>
      <c r="H838" s="30"/>
      <c r="L838" s="30"/>
      <c r="P838" s="30"/>
      <c r="T838" s="30"/>
    </row>
    <row r="839" spans="2:20" ht="13">
      <c r="B839" s="30"/>
      <c r="G839" s="30"/>
      <c r="H839" s="30"/>
      <c r="L839" s="30"/>
      <c r="P839" s="30"/>
      <c r="T839" s="30"/>
    </row>
    <row r="840" spans="2:20" ht="13">
      <c r="B840" s="30"/>
      <c r="G840" s="30"/>
      <c r="H840" s="30"/>
      <c r="L840" s="30"/>
      <c r="P840" s="30"/>
      <c r="T840" s="30"/>
    </row>
    <row r="841" spans="2:20" ht="13">
      <c r="B841" s="30"/>
      <c r="G841" s="30"/>
      <c r="H841" s="30"/>
      <c r="L841" s="30"/>
      <c r="P841" s="30"/>
      <c r="T841" s="30"/>
    </row>
    <row r="842" spans="2:20" ht="13">
      <c r="B842" s="30"/>
      <c r="G842" s="30"/>
      <c r="H842" s="30"/>
      <c r="L842" s="30"/>
      <c r="P842" s="30"/>
      <c r="T842" s="30"/>
    </row>
    <row r="843" spans="2:20" ht="13">
      <c r="B843" s="30"/>
      <c r="G843" s="30"/>
      <c r="H843" s="30"/>
      <c r="L843" s="30"/>
      <c r="P843" s="30"/>
      <c r="T843" s="30"/>
    </row>
    <row r="844" spans="2:20" ht="13">
      <c r="B844" s="30"/>
      <c r="G844" s="30"/>
      <c r="H844" s="30"/>
      <c r="L844" s="30"/>
      <c r="P844" s="30"/>
      <c r="T844" s="30"/>
    </row>
    <row r="845" spans="2:20" ht="13">
      <c r="B845" s="30"/>
      <c r="G845" s="30"/>
      <c r="H845" s="30"/>
      <c r="L845" s="30"/>
      <c r="P845" s="30"/>
      <c r="T845" s="30"/>
    </row>
    <row r="846" spans="2:20" ht="13">
      <c r="B846" s="30"/>
      <c r="G846" s="30"/>
      <c r="H846" s="30"/>
      <c r="L846" s="30"/>
      <c r="P846" s="30"/>
      <c r="T846" s="30"/>
    </row>
    <row r="847" spans="2:20" ht="13">
      <c r="B847" s="30"/>
      <c r="G847" s="30"/>
      <c r="H847" s="30"/>
      <c r="L847" s="30"/>
      <c r="P847" s="30"/>
      <c r="T847" s="30"/>
    </row>
    <row r="848" spans="2:20" ht="13">
      <c r="B848" s="30"/>
      <c r="G848" s="30"/>
      <c r="H848" s="30"/>
      <c r="L848" s="30"/>
      <c r="P848" s="30"/>
      <c r="T848" s="30"/>
    </row>
    <row r="849" spans="2:20" ht="13">
      <c r="B849" s="30"/>
      <c r="G849" s="30"/>
      <c r="H849" s="30"/>
      <c r="L849" s="30"/>
      <c r="P849" s="30"/>
      <c r="T849" s="30"/>
    </row>
    <row r="850" spans="2:20" ht="13">
      <c r="B850" s="30"/>
      <c r="G850" s="30"/>
      <c r="H850" s="30"/>
      <c r="L850" s="30"/>
      <c r="P850" s="30"/>
      <c r="T850" s="30"/>
    </row>
    <row r="851" spans="2:20" ht="13">
      <c r="B851" s="30"/>
      <c r="G851" s="30"/>
      <c r="H851" s="30"/>
      <c r="L851" s="30"/>
      <c r="P851" s="30"/>
      <c r="T851" s="30"/>
    </row>
    <row r="852" spans="2:20" ht="13">
      <c r="B852" s="30"/>
      <c r="G852" s="30"/>
      <c r="H852" s="30"/>
      <c r="L852" s="30"/>
      <c r="P852" s="30"/>
      <c r="T852" s="30"/>
    </row>
    <row r="853" spans="2:20" ht="13">
      <c r="B853" s="30"/>
      <c r="G853" s="30"/>
      <c r="H853" s="30"/>
      <c r="L853" s="30"/>
      <c r="P853" s="30"/>
      <c r="T853" s="30"/>
    </row>
    <row r="854" spans="2:20" ht="13">
      <c r="B854" s="30"/>
      <c r="G854" s="30"/>
      <c r="H854" s="30"/>
      <c r="L854" s="30"/>
      <c r="P854" s="30"/>
      <c r="T854" s="30"/>
    </row>
    <row r="855" spans="2:20" ht="13">
      <c r="B855" s="30"/>
      <c r="G855" s="30"/>
      <c r="H855" s="30"/>
      <c r="L855" s="30"/>
      <c r="P855" s="30"/>
      <c r="T855" s="30"/>
    </row>
    <row r="856" spans="2:20" ht="13">
      <c r="B856" s="30"/>
      <c r="G856" s="30"/>
      <c r="H856" s="30"/>
      <c r="L856" s="30"/>
      <c r="P856" s="30"/>
      <c r="T856" s="30"/>
    </row>
    <row r="857" spans="2:20" ht="13">
      <c r="B857" s="30"/>
      <c r="G857" s="30"/>
      <c r="H857" s="30"/>
      <c r="L857" s="30"/>
      <c r="P857" s="30"/>
      <c r="T857" s="30"/>
    </row>
    <row r="858" spans="2:20" ht="13">
      <c r="B858" s="30"/>
      <c r="G858" s="30"/>
      <c r="H858" s="30"/>
      <c r="L858" s="30"/>
      <c r="P858" s="30"/>
      <c r="T858" s="30"/>
    </row>
    <row r="859" spans="2:20" ht="13">
      <c r="B859" s="30"/>
      <c r="G859" s="30"/>
      <c r="H859" s="30"/>
      <c r="L859" s="30"/>
      <c r="P859" s="30"/>
      <c r="T859" s="30"/>
    </row>
    <row r="860" spans="2:20" ht="13">
      <c r="B860" s="30"/>
      <c r="G860" s="30"/>
      <c r="H860" s="30"/>
      <c r="L860" s="30"/>
      <c r="P860" s="30"/>
      <c r="T860" s="30"/>
    </row>
    <row r="861" spans="2:20" ht="13">
      <c r="B861" s="30"/>
      <c r="G861" s="30"/>
      <c r="H861" s="30"/>
      <c r="L861" s="30"/>
      <c r="P861" s="30"/>
      <c r="T861" s="30"/>
    </row>
    <row r="862" spans="2:20" ht="13">
      <c r="B862" s="30"/>
      <c r="G862" s="30"/>
      <c r="H862" s="30"/>
      <c r="L862" s="30"/>
      <c r="P862" s="30"/>
      <c r="T862" s="30"/>
    </row>
    <row r="863" spans="2:20" ht="13">
      <c r="B863" s="30"/>
      <c r="G863" s="30"/>
      <c r="H863" s="30"/>
      <c r="L863" s="30"/>
      <c r="P863" s="30"/>
      <c r="T863" s="30"/>
    </row>
    <row r="864" spans="2:20" ht="13">
      <c r="B864" s="30"/>
      <c r="G864" s="30"/>
      <c r="H864" s="30"/>
      <c r="L864" s="30"/>
      <c r="P864" s="30"/>
      <c r="T864" s="30"/>
    </row>
    <row r="865" spans="2:20" ht="13">
      <c r="B865" s="30"/>
      <c r="G865" s="30"/>
      <c r="H865" s="30"/>
      <c r="L865" s="30"/>
      <c r="P865" s="30"/>
      <c r="T865" s="30"/>
    </row>
    <row r="866" spans="2:20" ht="13">
      <c r="B866" s="30"/>
      <c r="G866" s="30"/>
      <c r="H866" s="30"/>
      <c r="L866" s="30"/>
      <c r="P866" s="30"/>
      <c r="T866" s="30"/>
    </row>
    <row r="867" spans="2:20" ht="13">
      <c r="B867" s="30"/>
      <c r="G867" s="30"/>
      <c r="H867" s="30"/>
      <c r="L867" s="30"/>
      <c r="P867" s="30"/>
      <c r="T867" s="30"/>
    </row>
    <row r="868" spans="2:20" ht="13">
      <c r="B868" s="30"/>
      <c r="G868" s="30"/>
      <c r="H868" s="30"/>
      <c r="L868" s="30"/>
      <c r="P868" s="30"/>
      <c r="T868" s="30"/>
    </row>
    <row r="869" spans="2:20" ht="13">
      <c r="B869" s="30"/>
      <c r="G869" s="30"/>
      <c r="H869" s="30"/>
      <c r="L869" s="30"/>
      <c r="P869" s="30"/>
      <c r="T869" s="30"/>
    </row>
    <row r="870" spans="2:20" ht="13">
      <c r="B870" s="30"/>
      <c r="G870" s="30"/>
      <c r="H870" s="30"/>
      <c r="L870" s="30"/>
      <c r="P870" s="30"/>
      <c r="T870" s="30"/>
    </row>
    <row r="871" spans="2:20" ht="13">
      <c r="B871" s="30"/>
      <c r="G871" s="30"/>
      <c r="H871" s="30"/>
      <c r="L871" s="30"/>
      <c r="P871" s="30"/>
      <c r="T871" s="30"/>
    </row>
    <row r="872" spans="2:20" ht="13">
      <c r="B872" s="30"/>
      <c r="G872" s="30"/>
      <c r="H872" s="30"/>
      <c r="L872" s="30"/>
      <c r="P872" s="30"/>
      <c r="T872" s="30"/>
    </row>
    <row r="873" spans="2:20" ht="13">
      <c r="B873" s="30"/>
      <c r="G873" s="30"/>
      <c r="H873" s="30"/>
      <c r="L873" s="30"/>
      <c r="P873" s="30"/>
      <c r="T873" s="30"/>
    </row>
    <row r="874" spans="2:20" ht="13">
      <c r="B874" s="30"/>
      <c r="G874" s="30"/>
      <c r="H874" s="30"/>
      <c r="L874" s="30"/>
      <c r="P874" s="30"/>
      <c r="T874" s="30"/>
    </row>
    <row r="875" spans="2:20" ht="13">
      <c r="B875" s="30"/>
      <c r="G875" s="30"/>
      <c r="H875" s="30"/>
      <c r="L875" s="30"/>
      <c r="P875" s="30"/>
      <c r="T875" s="30"/>
    </row>
    <row r="876" spans="2:20" ht="13">
      <c r="B876" s="30"/>
      <c r="G876" s="30"/>
      <c r="H876" s="30"/>
      <c r="L876" s="30"/>
      <c r="P876" s="30"/>
      <c r="T876" s="30"/>
    </row>
    <row r="877" spans="2:20" ht="13">
      <c r="B877" s="30"/>
      <c r="G877" s="30"/>
      <c r="H877" s="30"/>
      <c r="L877" s="30"/>
      <c r="P877" s="30"/>
      <c r="T877" s="30"/>
    </row>
    <row r="878" spans="2:20" ht="13">
      <c r="B878" s="30"/>
      <c r="G878" s="30"/>
      <c r="H878" s="30"/>
      <c r="L878" s="30"/>
      <c r="P878" s="30"/>
      <c r="T878" s="30"/>
    </row>
    <row r="879" spans="2:20" ht="13">
      <c r="B879" s="30"/>
      <c r="G879" s="30"/>
      <c r="H879" s="30"/>
      <c r="L879" s="30"/>
      <c r="P879" s="30"/>
      <c r="T879" s="30"/>
    </row>
    <row r="880" spans="2:20" ht="13">
      <c r="B880" s="30"/>
      <c r="G880" s="30"/>
      <c r="H880" s="30"/>
      <c r="L880" s="30"/>
      <c r="P880" s="30"/>
      <c r="T880" s="30"/>
    </row>
    <row r="881" spans="2:20" ht="13">
      <c r="B881" s="30"/>
      <c r="G881" s="30"/>
      <c r="H881" s="30"/>
      <c r="L881" s="30"/>
      <c r="P881" s="30"/>
      <c r="T881" s="30"/>
    </row>
    <row r="882" spans="2:20" ht="13">
      <c r="B882" s="30"/>
      <c r="G882" s="30"/>
      <c r="H882" s="30"/>
      <c r="L882" s="30"/>
      <c r="P882" s="30"/>
      <c r="T882" s="30"/>
    </row>
    <row r="883" spans="2:20" ht="13">
      <c r="B883" s="30"/>
      <c r="G883" s="30"/>
      <c r="H883" s="30"/>
      <c r="L883" s="30"/>
      <c r="P883" s="30"/>
      <c r="T883" s="30"/>
    </row>
    <row r="884" spans="2:20" ht="13">
      <c r="B884" s="30"/>
      <c r="G884" s="30"/>
      <c r="H884" s="30"/>
      <c r="L884" s="30"/>
      <c r="P884" s="30"/>
      <c r="T884" s="30"/>
    </row>
    <row r="885" spans="2:20" ht="13">
      <c r="B885" s="30"/>
      <c r="G885" s="30"/>
      <c r="H885" s="30"/>
      <c r="L885" s="30"/>
      <c r="P885" s="30"/>
      <c r="T885" s="30"/>
    </row>
    <row r="886" spans="2:20" ht="13">
      <c r="B886" s="30"/>
      <c r="G886" s="30"/>
      <c r="H886" s="30"/>
      <c r="L886" s="30"/>
      <c r="P886" s="30"/>
      <c r="T886" s="30"/>
    </row>
    <row r="887" spans="2:20" ht="13">
      <c r="B887" s="30"/>
      <c r="G887" s="30"/>
      <c r="H887" s="30"/>
      <c r="L887" s="30"/>
      <c r="P887" s="30"/>
      <c r="T887" s="30"/>
    </row>
    <row r="888" spans="2:20" ht="13">
      <c r="B888" s="30"/>
      <c r="G888" s="30"/>
      <c r="H888" s="30"/>
      <c r="L888" s="30"/>
      <c r="P888" s="30"/>
      <c r="T888" s="30"/>
    </row>
    <row r="889" spans="2:20" ht="13">
      <c r="B889" s="30"/>
      <c r="G889" s="30"/>
      <c r="H889" s="30"/>
      <c r="L889" s="30"/>
      <c r="P889" s="30"/>
      <c r="T889" s="30"/>
    </row>
    <row r="890" spans="2:20" ht="13">
      <c r="B890" s="30"/>
      <c r="G890" s="30"/>
      <c r="H890" s="30"/>
      <c r="L890" s="30"/>
      <c r="P890" s="30"/>
      <c r="T890" s="30"/>
    </row>
    <row r="891" spans="2:20" ht="13">
      <c r="B891" s="30"/>
      <c r="G891" s="30"/>
      <c r="H891" s="30"/>
      <c r="L891" s="30"/>
      <c r="P891" s="30"/>
      <c r="T891" s="30"/>
    </row>
    <row r="892" spans="2:20" ht="13">
      <c r="B892" s="30"/>
      <c r="G892" s="30"/>
      <c r="H892" s="30"/>
      <c r="L892" s="30"/>
      <c r="P892" s="30"/>
      <c r="T892" s="30"/>
    </row>
    <row r="893" spans="2:20" ht="13">
      <c r="B893" s="30"/>
      <c r="G893" s="30"/>
      <c r="H893" s="30"/>
      <c r="L893" s="30"/>
      <c r="P893" s="30"/>
      <c r="T893" s="30"/>
    </row>
    <row r="894" spans="2:20" ht="13">
      <c r="B894" s="30"/>
      <c r="G894" s="30"/>
      <c r="H894" s="30"/>
      <c r="L894" s="30"/>
      <c r="P894" s="30"/>
      <c r="T894" s="30"/>
    </row>
    <row r="895" spans="2:20" ht="13">
      <c r="B895" s="30"/>
      <c r="G895" s="30"/>
      <c r="H895" s="30"/>
      <c r="L895" s="30"/>
      <c r="P895" s="30"/>
      <c r="T895" s="30"/>
    </row>
    <row r="896" spans="2:20" ht="13">
      <c r="B896" s="30"/>
      <c r="G896" s="30"/>
      <c r="H896" s="30"/>
      <c r="L896" s="30"/>
      <c r="P896" s="30"/>
      <c r="T896" s="30"/>
    </row>
    <row r="897" spans="2:20" ht="13">
      <c r="B897" s="30"/>
      <c r="G897" s="30"/>
      <c r="H897" s="30"/>
      <c r="L897" s="30"/>
      <c r="P897" s="30"/>
      <c r="T897" s="30"/>
    </row>
    <row r="898" spans="2:20" ht="13">
      <c r="B898" s="30"/>
      <c r="G898" s="30"/>
      <c r="H898" s="30"/>
      <c r="L898" s="30"/>
      <c r="P898" s="30"/>
      <c r="T898" s="30"/>
    </row>
    <row r="899" spans="2:20" ht="13">
      <c r="B899" s="30"/>
      <c r="G899" s="30"/>
      <c r="H899" s="30"/>
      <c r="L899" s="30"/>
      <c r="P899" s="30"/>
      <c r="T899" s="30"/>
    </row>
    <row r="900" spans="2:20" ht="13">
      <c r="B900" s="30"/>
      <c r="G900" s="30"/>
      <c r="H900" s="30"/>
      <c r="L900" s="30"/>
      <c r="P900" s="30"/>
      <c r="T900" s="30"/>
    </row>
    <row r="901" spans="2:20" ht="13">
      <c r="B901" s="30"/>
      <c r="G901" s="30"/>
      <c r="H901" s="30"/>
      <c r="L901" s="30"/>
      <c r="P901" s="30"/>
      <c r="T901" s="30"/>
    </row>
    <row r="902" spans="2:20" ht="13">
      <c r="B902" s="30"/>
      <c r="G902" s="30"/>
      <c r="H902" s="30"/>
      <c r="L902" s="30"/>
      <c r="P902" s="30"/>
      <c r="T902" s="30"/>
    </row>
    <row r="903" spans="2:20" ht="13">
      <c r="B903" s="30"/>
      <c r="G903" s="30"/>
      <c r="H903" s="30"/>
      <c r="L903" s="30"/>
      <c r="P903" s="30"/>
      <c r="T903" s="30"/>
    </row>
    <row r="904" spans="2:20" ht="13">
      <c r="B904" s="30"/>
      <c r="G904" s="30"/>
      <c r="H904" s="30"/>
      <c r="L904" s="30"/>
      <c r="P904" s="30"/>
      <c r="T904" s="30"/>
    </row>
    <row r="905" spans="2:20" ht="13">
      <c r="B905" s="30"/>
      <c r="G905" s="30"/>
      <c r="H905" s="30"/>
      <c r="L905" s="30"/>
      <c r="P905" s="30"/>
      <c r="T905" s="30"/>
    </row>
    <row r="906" spans="2:20" ht="13">
      <c r="B906" s="30"/>
      <c r="G906" s="30"/>
      <c r="H906" s="30"/>
      <c r="L906" s="30"/>
      <c r="P906" s="30"/>
      <c r="T906" s="30"/>
    </row>
    <row r="907" spans="2:20" ht="13">
      <c r="B907" s="30"/>
      <c r="G907" s="30"/>
      <c r="H907" s="30"/>
      <c r="L907" s="30"/>
      <c r="P907" s="30"/>
      <c r="T907" s="30"/>
    </row>
    <row r="908" spans="2:20" ht="13">
      <c r="B908" s="30"/>
      <c r="G908" s="30"/>
      <c r="H908" s="30"/>
      <c r="L908" s="30"/>
      <c r="P908" s="30"/>
      <c r="T908" s="30"/>
    </row>
    <row r="909" spans="2:20" ht="13">
      <c r="B909" s="30"/>
      <c r="G909" s="30"/>
      <c r="H909" s="30"/>
      <c r="L909" s="30"/>
      <c r="P909" s="30"/>
      <c r="T909" s="30"/>
    </row>
    <row r="910" spans="2:20" ht="13">
      <c r="B910" s="30"/>
      <c r="G910" s="30"/>
      <c r="H910" s="30"/>
      <c r="L910" s="30"/>
      <c r="P910" s="30"/>
      <c r="T910" s="30"/>
    </row>
    <row r="911" spans="2:20" ht="13">
      <c r="B911" s="30"/>
      <c r="G911" s="30"/>
      <c r="H911" s="30"/>
      <c r="L911" s="30"/>
      <c r="P911" s="30"/>
      <c r="T911" s="30"/>
    </row>
    <row r="912" spans="2:20" ht="13">
      <c r="B912" s="30"/>
      <c r="G912" s="30"/>
      <c r="H912" s="30"/>
      <c r="L912" s="30"/>
      <c r="P912" s="30"/>
      <c r="T912" s="30"/>
    </row>
    <row r="913" spans="2:20" ht="13">
      <c r="B913" s="30"/>
      <c r="G913" s="30"/>
      <c r="H913" s="30"/>
      <c r="L913" s="30"/>
      <c r="P913" s="30"/>
      <c r="T913" s="30"/>
    </row>
    <row r="914" spans="2:20" ht="13">
      <c r="B914" s="30"/>
      <c r="G914" s="30"/>
      <c r="H914" s="30"/>
      <c r="L914" s="30"/>
      <c r="P914" s="30"/>
      <c r="T914" s="30"/>
    </row>
    <row r="915" spans="2:20" ht="13">
      <c r="B915" s="30"/>
      <c r="G915" s="30"/>
      <c r="H915" s="30"/>
      <c r="L915" s="30"/>
      <c r="P915" s="30"/>
      <c r="T915" s="30"/>
    </row>
    <row r="916" spans="2:20" ht="13">
      <c r="B916" s="30"/>
      <c r="G916" s="30"/>
      <c r="H916" s="30"/>
      <c r="L916" s="30"/>
      <c r="P916" s="30"/>
      <c r="T916" s="30"/>
    </row>
    <row r="917" spans="2:20" ht="13">
      <c r="B917" s="30"/>
      <c r="G917" s="30"/>
      <c r="H917" s="30"/>
      <c r="L917" s="30"/>
      <c r="P917" s="30"/>
      <c r="T917" s="30"/>
    </row>
    <row r="918" spans="2:20" ht="13">
      <c r="B918" s="30"/>
      <c r="G918" s="30"/>
      <c r="H918" s="30"/>
      <c r="L918" s="30"/>
      <c r="P918" s="30"/>
      <c r="T918" s="30"/>
    </row>
    <row r="919" spans="2:20" ht="13">
      <c r="B919" s="30"/>
      <c r="G919" s="30"/>
      <c r="H919" s="30"/>
      <c r="L919" s="30"/>
      <c r="P919" s="30"/>
      <c r="T919" s="30"/>
    </row>
    <row r="920" spans="2:20" ht="13">
      <c r="B920" s="30"/>
      <c r="G920" s="30"/>
      <c r="H920" s="30"/>
      <c r="L920" s="30"/>
      <c r="P920" s="30"/>
      <c r="T920" s="30"/>
    </row>
    <row r="921" spans="2:20" ht="13">
      <c r="B921" s="30"/>
      <c r="G921" s="30"/>
      <c r="H921" s="30"/>
      <c r="L921" s="30"/>
      <c r="P921" s="30"/>
      <c r="T921" s="30"/>
    </row>
    <row r="922" spans="2:20" ht="13">
      <c r="B922" s="30"/>
      <c r="G922" s="30"/>
      <c r="H922" s="30"/>
      <c r="L922" s="30"/>
      <c r="P922" s="30"/>
      <c r="T922" s="30"/>
    </row>
    <row r="923" spans="2:20" ht="13">
      <c r="B923" s="30"/>
      <c r="G923" s="30"/>
      <c r="H923" s="30"/>
      <c r="L923" s="30"/>
      <c r="P923" s="30"/>
      <c r="T923" s="30"/>
    </row>
    <row r="924" spans="2:20" ht="13">
      <c r="B924" s="30"/>
      <c r="G924" s="30"/>
      <c r="H924" s="30"/>
      <c r="L924" s="30"/>
      <c r="P924" s="30"/>
      <c r="T924" s="30"/>
    </row>
    <row r="925" spans="2:20" ht="13">
      <c r="B925" s="30"/>
      <c r="G925" s="30"/>
      <c r="H925" s="30"/>
      <c r="L925" s="30"/>
      <c r="P925" s="30"/>
      <c r="T925" s="30"/>
    </row>
    <row r="926" spans="2:20" ht="13">
      <c r="B926" s="30"/>
      <c r="G926" s="30"/>
      <c r="H926" s="30"/>
      <c r="L926" s="30"/>
      <c r="P926" s="30"/>
      <c r="T926" s="30"/>
    </row>
    <row r="927" spans="2:20" ht="13">
      <c r="B927" s="30"/>
      <c r="G927" s="30"/>
      <c r="H927" s="30"/>
      <c r="L927" s="30"/>
      <c r="P927" s="30"/>
      <c r="T927" s="30"/>
    </row>
    <row r="928" spans="2:20" ht="13">
      <c r="B928" s="30"/>
      <c r="G928" s="30"/>
      <c r="H928" s="30"/>
      <c r="L928" s="30"/>
      <c r="P928" s="30"/>
      <c r="T928" s="30"/>
    </row>
    <row r="929" spans="2:20" ht="13">
      <c r="B929" s="30"/>
      <c r="G929" s="30"/>
      <c r="H929" s="30"/>
      <c r="L929" s="30"/>
      <c r="P929" s="30"/>
      <c r="T929" s="30"/>
    </row>
    <row r="930" spans="2:20" ht="13">
      <c r="B930" s="30"/>
      <c r="G930" s="30"/>
      <c r="H930" s="30"/>
      <c r="L930" s="30"/>
      <c r="P930" s="30"/>
      <c r="T930" s="30"/>
    </row>
    <row r="931" spans="2:20" ht="13">
      <c r="B931" s="30"/>
      <c r="G931" s="30"/>
      <c r="H931" s="30"/>
      <c r="L931" s="30"/>
      <c r="P931" s="30"/>
      <c r="T931" s="30"/>
    </row>
    <row r="932" spans="2:20" ht="13">
      <c r="B932" s="30"/>
      <c r="G932" s="30"/>
      <c r="H932" s="30"/>
      <c r="L932" s="30"/>
      <c r="P932" s="30"/>
      <c r="T932" s="30"/>
    </row>
    <row r="933" spans="2:20" ht="13">
      <c r="B933" s="30"/>
      <c r="G933" s="30"/>
      <c r="H933" s="30"/>
      <c r="L933" s="30"/>
      <c r="P933" s="30"/>
      <c r="T933" s="30"/>
    </row>
    <row r="934" spans="2:20" ht="13">
      <c r="B934" s="30"/>
      <c r="G934" s="30"/>
      <c r="H934" s="30"/>
      <c r="L934" s="30"/>
      <c r="P934" s="30"/>
      <c r="T934" s="30"/>
    </row>
    <row r="935" spans="2:20" ht="13">
      <c r="B935" s="30"/>
      <c r="G935" s="30"/>
      <c r="H935" s="30"/>
      <c r="L935" s="30"/>
      <c r="P935" s="30"/>
      <c r="T935" s="30"/>
    </row>
    <row r="936" spans="2:20" ht="13">
      <c r="B936" s="30"/>
      <c r="G936" s="30"/>
      <c r="H936" s="30"/>
      <c r="L936" s="30"/>
      <c r="P936" s="30"/>
      <c r="T936" s="30"/>
    </row>
    <row r="937" spans="2:20" ht="13">
      <c r="B937" s="30"/>
      <c r="G937" s="30"/>
      <c r="H937" s="30"/>
      <c r="L937" s="30"/>
      <c r="P937" s="30"/>
      <c r="T937" s="30"/>
    </row>
    <row r="938" spans="2:20" ht="13">
      <c r="B938" s="30"/>
      <c r="G938" s="30"/>
      <c r="H938" s="30"/>
      <c r="L938" s="30"/>
      <c r="P938" s="30"/>
      <c r="T938" s="30"/>
    </row>
    <row r="939" spans="2:20" ht="13">
      <c r="B939" s="30"/>
      <c r="G939" s="30"/>
      <c r="H939" s="30"/>
      <c r="L939" s="30"/>
      <c r="P939" s="30"/>
      <c r="T939" s="30"/>
    </row>
    <row r="940" spans="2:20" ht="13">
      <c r="B940" s="30"/>
      <c r="G940" s="30"/>
      <c r="H940" s="30"/>
      <c r="L940" s="30"/>
      <c r="P940" s="30"/>
      <c r="T940" s="30"/>
    </row>
    <row r="941" spans="2:20" ht="13">
      <c r="B941" s="30"/>
      <c r="G941" s="30"/>
      <c r="H941" s="30"/>
      <c r="L941" s="30"/>
      <c r="P941" s="30"/>
      <c r="T941" s="30"/>
    </row>
    <row r="942" spans="2:20" ht="13">
      <c r="B942" s="30"/>
      <c r="G942" s="30"/>
      <c r="H942" s="30"/>
      <c r="L942" s="30"/>
      <c r="P942" s="30"/>
      <c r="T942" s="30"/>
    </row>
    <row r="943" spans="2:20" ht="13">
      <c r="B943" s="30"/>
      <c r="G943" s="30"/>
      <c r="H943" s="30"/>
      <c r="L943" s="30"/>
      <c r="P943" s="30"/>
      <c r="T943" s="30"/>
    </row>
    <row r="944" spans="2:20" ht="13">
      <c r="B944" s="30"/>
      <c r="G944" s="30"/>
      <c r="H944" s="30"/>
      <c r="L944" s="30"/>
      <c r="P944" s="30"/>
      <c r="T944" s="30"/>
    </row>
    <row r="945" spans="2:20" ht="13">
      <c r="B945" s="30"/>
      <c r="G945" s="30"/>
      <c r="H945" s="30"/>
      <c r="L945" s="30"/>
      <c r="P945" s="30"/>
      <c r="T945" s="30"/>
    </row>
    <row r="946" spans="2:20" ht="13">
      <c r="B946" s="30"/>
      <c r="G946" s="30"/>
      <c r="H946" s="30"/>
      <c r="L946" s="30"/>
      <c r="P946" s="30"/>
      <c r="T946" s="30"/>
    </row>
    <row r="947" spans="2:20" ht="13">
      <c r="B947" s="30"/>
      <c r="G947" s="30"/>
      <c r="H947" s="30"/>
      <c r="L947" s="30"/>
      <c r="P947" s="30"/>
      <c r="T947" s="30"/>
    </row>
    <row r="948" spans="2:20" ht="13">
      <c r="B948" s="30"/>
      <c r="G948" s="30"/>
      <c r="H948" s="30"/>
      <c r="L948" s="30"/>
      <c r="P948" s="30"/>
      <c r="T948" s="30"/>
    </row>
    <row r="949" spans="2:20" ht="13">
      <c r="B949" s="30"/>
      <c r="G949" s="30"/>
      <c r="H949" s="30"/>
      <c r="L949" s="30"/>
      <c r="P949" s="30"/>
      <c r="T949" s="30"/>
    </row>
    <row r="950" spans="2:20" ht="13">
      <c r="B950" s="30"/>
      <c r="G950" s="30"/>
      <c r="H950" s="30"/>
      <c r="L950" s="30"/>
      <c r="P950" s="30"/>
      <c r="T950" s="30"/>
    </row>
    <row r="951" spans="2:20" ht="13">
      <c r="B951" s="30"/>
      <c r="G951" s="30"/>
      <c r="H951" s="30"/>
      <c r="L951" s="30"/>
      <c r="P951" s="30"/>
      <c r="T951" s="30"/>
    </row>
    <row r="952" spans="2:20" ht="13">
      <c r="B952" s="30"/>
      <c r="G952" s="30"/>
      <c r="H952" s="30"/>
      <c r="L952" s="30"/>
      <c r="P952" s="30"/>
      <c r="T952" s="30"/>
    </row>
    <row r="953" spans="2:20" ht="13">
      <c r="B953" s="30"/>
      <c r="G953" s="30"/>
      <c r="H953" s="30"/>
      <c r="L953" s="30"/>
      <c r="P953" s="30"/>
      <c r="T953" s="30"/>
    </row>
    <row r="954" spans="2:20" ht="13">
      <c r="B954" s="30"/>
      <c r="G954" s="30"/>
      <c r="H954" s="30"/>
      <c r="L954" s="30"/>
      <c r="P954" s="30"/>
      <c r="T954" s="30"/>
    </row>
    <row r="955" spans="2:20" ht="13">
      <c r="B955" s="30"/>
      <c r="G955" s="30"/>
      <c r="H955" s="30"/>
      <c r="L955" s="30"/>
      <c r="P955" s="30"/>
      <c r="T955" s="30"/>
    </row>
    <row r="956" spans="2:20" ht="13">
      <c r="B956" s="30"/>
      <c r="G956" s="30"/>
      <c r="H956" s="30"/>
      <c r="L956" s="30"/>
      <c r="P956" s="30"/>
      <c r="T956" s="30"/>
    </row>
    <row r="957" spans="2:20" ht="13">
      <c r="B957" s="30"/>
      <c r="G957" s="30"/>
      <c r="H957" s="30"/>
      <c r="L957" s="30"/>
      <c r="P957" s="30"/>
      <c r="T957" s="30"/>
    </row>
    <row r="958" spans="2:20" ht="13">
      <c r="B958" s="30"/>
      <c r="G958" s="30"/>
      <c r="H958" s="30"/>
      <c r="L958" s="30"/>
      <c r="P958" s="30"/>
      <c r="T958" s="30"/>
    </row>
    <row r="959" spans="2:20" ht="13">
      <c r="B959" s="30"/>
      <c r="G959" s="30"/>
      <c r="H959" s="30"/>
      <c r="L959" s="30"/>
      <c r="P959" s="30"/>
      <c r="T959" s="30"/>
    </row>
    <row r="960" spans="2:20" ht="13">
      <c r="B960" s="30"/>
      <c r="G960" s="30"/>
      <c r="H960" s="30"/>
      <c r="L960" s="30"/>
      <c r="P960" s="30"/>
      <c r="T960" s="30"/>
    </row>
    <row r="961" spans="2:20" ht="13">
      <c r="B961" s="30"/>
      <c r="G961" s="30"/>
      <c r="H961" s="30"/>
      <c r="L961" s="30"/>
      <c r="P961" s="30"/>
      <c r="T961" s="30"/>
    </row>
    <row r="962" spans="2:20" ht="13">
      <c r="B962" s="30"/>
      <c r="G962" s="30"/>
      <c r="H962" s="30"/>
      <c r="L962" s="30"/>
      <c r="P962" s="30"/>
      <c r="T962" s="30"/>
    </row>
    <row r="963" spans="2:20" ht="13">
      <c r="B963" s="30"/>
      <c r="G963" s="30"/>
      <c r="H963" s="30"/>
      <c r="L963" s="30"/>
      <c r="P963" s="30"/>
      <c r="T963" s="30"/>
    </row>
    <row r="964" spans="2:20" ht="13">
      <c r="B964" s="30"/>
      <c r="G964" s="30"/>
      <c r="H964" s="30"/>
      <c r="L964" s="30"/>
      <c r="P964" s="30"/>
      <c r="T964" s="30"/>
    </row>
    <row r="965" spans="2:20" ht="13">
      <c r="B965" s="30"/>
      <c r="G965" s="30"/>
      <c r="H965" s="30"/>
      <c r="L965" s="30"/>
      <c r="P965" s="30"/>
      <c r="T965" s="30"/>
    </row>
    <row r="966" spans="2:20" ht="13">
      <c r="B966" s="30"/>
      <c r="G966" s="30"/>
      <c r="H966" s="30"/>
      <c r="L966" s="30"/>
      <c r="P966" s="30"/>
      <c r="T966" s="30"/>
    </row>
    <row r="967" spans="2:20" ht="13">
      <c r="B967" s="30"/>
      <c r="G967" s="30"/>
      <c r="H967" s="30"/>
      <c r="L967" s="30"/>
      <c r="P967" s="30"/>
      <c r="T967" s="30"/>
    </row>
    <row r="968" spans="2:20" ht="13">
      <c r="B968" s="30"/>
      <c r="G968" s="30"/>
      <c r="H968" s="30"/>
      <c r="L968" s="30"/>
      <c r="P968" s="30"/>
      <c r="T968" s="30"/>
    </row>
    <row r="969" spans="2:20" ht="13">
      <c r="B969" s="30"/>
      <c r="G969" s="30"/>
      <c r="H969" s="30"/>
      <c r="L969" s="30"/>
      <c r="P969" s="30"/>
      <c r="T969" s="30"/>
    </row>
    <row r="970" spans="2:20" ht="13">
      <c r="B970" s="30"/>
      <c r="G970" s="30"/>
      <c r="H970" s="30"/>
      <c r="L970" s="30"/>
      <c r="P970" s="30"/>
      <c r="T970" s="30"/>
    </row>
    <row r="971" spans="2:20" ht="13">
      <c r="B971" s="30"/>
      <c r="G971" s="30"/>
      <c r="H971" s="30"/>
      <c r="L971" s="30"/>
      <c r="P971" s="30"/>
      <c r="T971" s="30"/>
    </row>
    <row r="972" spans="2:20" ht="13">
      <c r="B972" s="30"/>
      <c r="G972" s="30"/>
      <c r="H972" s="30"/>
      <c r="L972" s="30"/>
      <c r="P972" s="30"/>
      <c r="T972" s="30"/>
    </row>
    <row r="973" spans="2:20" ht="13">
      <c r="B973" s="30"/>
      <c r="G973" s="30"/>
      <c r="H973" s="30"/>
      <c r="L973" s="30"/>
      <c r="P973" s="30"/>
      <c r="T973" s="30"/>
    </row>
    <row r="974" spans="2:20" ht="13">
      <c r="B974" s="30"/>
      <c r="G974" s="30"/>
      <c r="H974" s="30"/>
      <c r="L974" s="30"/>
      <c r="P974" s="30"/>
      <c r="T974" s="30"/>
    </row>
    <row r="975" spans="2:20" ht="13">
      <c r="B975" s="30"/>
      <c r="G975" s="30"/>
      <c r="H975" s="30"/>
      <c r="L975" s="30"/>
      <c r="P975" s="30"/>
      <c r="T975" s="30"/>
    </row>
    <row r="976" spans="2:20" ht="13">
      <c r="B976" s="30"/>
      <c r="G976" s="30"/>
      <c r="H976" s="30"/>
      <c r="L976" s="30"/>
      <c r="P976" s="30"/>
      <c r="T976" s="30"/>
    </row>
    <row r="977" spans="2:20" ht="13">
      <c r="B977" s="30"/>
      <c r="G977" s="30"/>
      <c r="H977" s="30"/>
      <c r="L977" s="30"/>
      <c r="P977" s="30"/>
      <c r="T977" s="30"/>
    </row>
    <row r="978" spans="2:20" ht="13">
      <c r="B978" s="30"/>
      <c r="G978" s="30"/>
      <c r="H978" s="30"/>
      <c r="L978" s="30"/>
      <c r="P978" s="30"/>
      <c r="T978" s="30"/>
    </row>
    <row r="979" spans="2:20" ht="13">
      <c r="B979" s="30"/>
      <c r="G979" s="30"/>
      <c r="H979" s="30"/>
      <c r="L979" s="30"/>
      <c r="P979" s="30"/>
      <c r="T979" s="30"/>
    </row>
    <row r="980" spans="2:20" ht="13">
      <c r="B980" s="30"/>
      <c r="G980" s="30"/>
      <c r="H980" s="30"/>
      <c r="L980" s="30"/>
      <c r="P980" s="30"/>
      <c r="T980" s="30"/>
    </row>
    <row r="981" spans="2:20" ht="13">
      <c r="B981" s="30"/>
      <c r="G981" s="30"/>
      <c r="H981" s="30"/>
      <c r="L981" s="30"/>
      <c r="P981" s="30"/>
      <c r="T981" s="30"/>
    </row>
    <row r="982" spans="2:20" ht="13">
      <c r="B982" s="30"/>
      <c r="G982" s="30"/>
      <c r="H982" s="30"/>
      <c r="L982" s="30"/>
      <c r="P982" s="30"/>
      <c r="T982" s="30"/>
    </row>
    <row r="983" spans="2:20" ht="13">
      <c r="B983" s="30"/>
      <c r="G983" s="30"/>
      <c r="H983" s="30"/>
      <c r="L983" s="30"/>
      <c r="P983" s="30"/>
      <c r="T983" s="30"/>
    </row>
    <row r="984" spans="2:20" ht="13">
      <c r="B984" s="30"/>
      <c r="G984" s="30"/>
      <c r="H984" s="30"/>
      <c r="L984" s="30"/>
      <c r="P984" s="30"/>
      <c r="T984" s="30"/>
    </row>
  </sheetData>
  <mergeCells count="12">
    <mergeCell ref="B1:F1"/>
    <mergeCell ref="H1:I1"/>
    <mergeCell ref="L1:M1"/>
    <mergeCell ref="P1:Q1"/>
    <mergeCell ref="H24:I24"/>
    <mergeCell ref="L24:M24"/>
    <mergeCell ref="P24:Q24"/>
    <mergeCell ref="B24:F24"/>
    <mergeCell ref="B42:F42"/>
    <mergeCell ref="H42:I42"/>
    <mergeCell ref="L42:M42"/>
    <mergeCell ref="P42:Q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cell_type_abundance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Center for Species Survival Macaronesia # Loro Parque </cp:lastModifiedBy>
  <dcterms:modified xsi:type="dcterms:W3CDTF">2026-07-08T08:30:42Z</dcterms:modified>
</cp:coreProperties>
</file>